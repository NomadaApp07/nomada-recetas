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esktop\ALMA RURAL\"/>
    </mc:Choice>
  </mc:AlternateContent>
  <xr:revisionPtr revIDLastSave="0" documentId="8_{7A184486-4DA5-4ECB-A376-8F5CA26A50CE}" xr6:coauthVersionLast="47" xr6:coauthVersionMax="47" xr10:uidLastSave="{00000000-0000-0000-0000-000000000000}"/>
  <bookViews>
    <workbookView xWindow="-120" yWindow="-120" windowWidth="20730" windowHeight="11760" activeTab="6" xr2:uid="{F38F8D56-6B82-491A-9730-965AA7EA0866}"/>
  </bookViews>
  <sheets>
    <sheet name="LISTA MAESTRA" sheetId="3" r:id="rId1"/>
    <sheet name="PLATOS" sheetId="2" state="hidden" r:id="rId2"/>
    <sheet name="BEBIDAS" sheetId="1" r:id="rId3"/>
    <sheet name="RECETA BASE" sheetId="4" r:id="rId4"/>
    <sheet name="ESTANDAR REFRESCANTES" sheetId="5" r:id="rId5"/>
    <sheet name="BEBIDAS CALIENTES" sheetId="6" r:id="rId6"/>
    <sheet name="BEBIDAS DE LICOR" sheetId="7" r:id="rId7"/>
  </sheets>
  <externalReferences>
    <externalReference r:id="rId8"/>
  </externalReferences>
  <definedNames>
    <definedName name="arp" localSheetId="2">#REF!</definedName>
    <definedName name="arp" localSheetId="0">#REF!</definedName>
    <definedName name="arp" localSheetId="1">#REF!</definedName>
    <definedName name="arp">#REF!</definedName>
    <definedName name="Riesgo" localSheetId="2">#REF!</definedName>
    <definedName name="Riesgo" localSheetId="0">#REF!</definedName>
    <definedName name="Riesgo" localSheetId="1">#REF!</definedName>
    <definedName name="Riesg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7" l="1"/>
  <c r="F12" i="7"/>
  <c r="F11" i="7"/>
  <c r="F10" i="7"/>
  <c r="F9" i="7"/>
  <c r="F8" i="7"/>
  <c r="F7" i="7"/>
  <c r="F6" i="7"/>
  <c r="F14" i="6"/>
  <c r="F12" i="6"/>
  <c r="F11" i="6"/>
  <c r="F10" i="6"/>
  <c r="F9" i="6"/>
  <c r="F8" i="6"/>
  <c r="F7" i="6"/>
  <c r="F6" i="6"/>
  <c r="F12" i="5"/>
  <c r="F11" i="5"/>
  <c r="F10" i="5"/>
  <c r="F9" i="5"/>
  <c r="F8" i="5"/>
  <c r="F7" i="5"/>
  <c r="F6" i="5"/>
  <c r="F12" i="4"/>
  <c r="F11" i="4"/>
  <c r="F10" i="4"/>
  <c r="F9" i="4"/>
  <c r="F8" i="4"/>
  <c r="F7" i="4"/>
  <c r="F6" i="4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5" i="3"/>
  <c r="D104" i="3"/>
  <c r="D103" i="3"/>
  <c r="D102" i="3"/>
  <c r="D101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1" i="3"/>
  <c r="D80" i="3"/>
  <c r="D76" i="3"/>
  <c r="D75" i="3"/>
  <c r="D74" i="3"/>
  <c r="D73" i="3"/>
  <c r="D72" i="3"/>
  <c r="D69" i="3"/>
  <c r="D68" i="3"/>
  <c r="D67" i="3"/>
  <c r="D66" i="3"/>
  <c r="D65" i="3"/>
  <c r="D64" i="3"/>
  <c r="D63" i="3"/>
  <c r="D62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1" i="3"/>
  <c r="D30" i="3"/>
  <c r="D27" i="3"/>
  <c r="D26" i="3"/>
  <c r="D25" i="3"/>
  <c r="D24" i="3"/>
  <c r="D23" i="3"/>
  <c r="D22" i="3"/>
  <c r="D21" i="3"/>
  <c r="D15" i="3"/>
  <c r="D14" i="3"/>
  <c r="D11" i="3"/>
  <c r="D10" i="3"/>
  <c r="D9" i="3"/>
  <c r="D8" i="3"/>
  <c r="D7" i="3"/>
  <c r="D6" i="3"/>
  <c r="E53" i="2"/>
  <c r="C53" i="2"/>
  <c r="A50" i="2"/>
  <c r="C49" i="2"/>
  <c r="E49" i="2" s="1"/>
  <c r="C46" i="2"/>
  <c r="E46" i="2" s="1"/>
  <c r="E45" i="2"/>
  <c r="C45" i="2"/>
  <c r="C44" i="2"/>
  <c r="E44" i="2" s="1"/>
  <c r="C43" i="2"/>
  <c r="E43" i="2" s="1"/>
  <c r="A43" i="2"/>
  <c r="A44" i="2" s="1"/>
  <c r="A45" i="2" s="1"/>
  <c r="A46" i="2" s="1"/>
  <c r="C42" i="2"/>
  <c r="E42" i="2" s="1"/>
  <c r="A42" i="2"/>
  <c r="E41" i="2"/>
  <c r="C41" i="2"/>
  <c r="C38" i="2"/>
  <c r="E38" i="2" s="1"/>
  <c r="C37" i="2"/>
  <c r="E37" i="2" s="1"/>
  <c r="E36" i="2"/>
  <c r="C36" i="2"/>
  <c r="C35" i="2"/>
  <c r="E35" i="2" s="1"/>
  <c r="C34" i="2"/>
  <c r="E34" i="2" s="1"/>
  <c r="A34" i="2"/>
  <c r="A35" i="2" s="1"/>
  <c r="A36" i="2" s="1"/>
  <c r="A37" i="2" s="1"/>
  <c r="A38" i="2" s="1"/>
  <c r="C33" i="2"/>
  <c r="E33" i="2" s="1"/>
  <c r="A33" i="2"/>
  <c r="C32" i="2"/>
  <c r="E32" i="2" s="1"/>
  <c r="C29" i="2"/>
  <c r="C26" i="2"/>
  <c r="E26" i="2" s="1"/>
  <c r="C25" i="2"/>
  <c r="E25" i="2" s="1"/>
  <c r="A25" i="2"/>
  <c r="A26" i="2" s="1"/>
  <c r="C24" i="2"/>
  <c r="E24" i="2" s="1"/>
  <c r="A24" i="2"/>
  <c r="C23" i="2"/>
  <c r="E23" i="2" s="1"/>
  <c r="C20" i="2"/>
  <c r="E20" i="2" s="1"/>
  <c r="A20" i="2"/>
  <c r="C19" i="2"/>
  <c r="E19" i="2" s="1"/>
  <c r="A19" i="2"/>
  <c r="E18" i="2"/>
  <c r="C18" i="2"/>
  <c r="C15" i="2"/>
  <c r="E15" i="2" s="1"/>
  <c r="A15" i="2"/>
  <c r="C14" i="2"/>
  <c r="E14" i="2" s="1"/>
  <c r="A14" i="2"/>
  <c r="C13" i="2"/>
  <c r="E13" i="2" s="1"/>
  <c r="C10" i="2"/>
  <c r="E10" i="2" s="1"/>
  <c r="A10" i="2"/>
  <c r="C9" i="2"/>
  <c r="E9" i="2" s="1"/>
  <c r="A9" i="2"/>
  <c r="E8" i="2"/>
  <c r="C8" i="2"/>
  <c r="A8" i="2"/>
  <c r="C7" i="2"/>
  <c r="E7" i="2" s="1"/>
  <c r="A7" i="2"/>
  <c r="C6" i="2"/>
  <c r="E6" i="2" s="1"/>
  <c r="B6" i="2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21" i="1"/>
  <c r="A22" i="1" s="1"/>
  <c r="A23" i="1" s="1"/>
  <c r="A24" i="1" s="1"/>
  <c r="A28" i="1"/>
  <c r="A29" i="1" s="1"/>
  <c r="A30" i="1" s="1"/>
  <c r="A34" i="1"/>
  <c r="A35" i="1"/>
  <c r="A36" i="1" s="1"/>
  <c r="F16" i="7" l="1"/>
  <c r="F17" i="7" s="1"/>
  <c r="F15" i="7"/>
  <c r="F15" i="6"/>
  <c r="F16" i="6" s="1"/>
  <c r="F17" i="6" s="1"/>
  <c r="F14" i="4"/>
  <c r="F17" i="4" s="1"/>
  <c r="F18" i="4" s="1"/>
  <c r="F14" i="5"/>
  <c r="F15" i="4"/>
  <c r="F16" i="4" s="1"/>
  <c r="F19" i="7" l="1"/>
  <c r="F20" i="7" s="1"/>
  <c r="F21" i="7" s="1"/>
  <c r="F19" i="6"/>
  <c r="F20" i="6" s="1"/>
  <c r="F15" i="5"/>
  <c r="F16" i="5" s="1"/>
  <c r="F17" i="5" s="1"/>
  <c r="F22" i="7" l="1"/>
  <c r="F23" i="7" s="1"/>
  <c r="F22" i="6"/>
  <c r="F23" i="6" s="1"/>
  <c r="F21" i="6"/>
  <c r="F19" i="5"/>
  <c r="F20" i="5" s="1"/>
  <c r="F22" i="5" l="1"/>
  <c r="F23" i="5" s="1"/>
  <c r="F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3E311192-610E-4D63-B6E3-893AF92C181D}">
      <text>
        <r>
          <rPr>
            <sz val="11"/>
            <color theme="1"/>
            <rFont val="Calibri"/>
            <family val="2"/>
            <scheme val="minor"/>
          </rPr>
          <t>======
ID#AAAAiH6fAFw
Prestamo    (2022-10-24 12:57:41)
Nómada: es el porcentage que puede incrementar en precio un producto en un lapso determinado de tiempo.</t>
        </r>
      </text>
    </comment>
  </commentList>
</comments>
</file>

<file path=xl/sharedStrings.xml><?xml version="1.0" encoding="utf-8"?>
<sst xmlns="http://schemas.openxmlformats.org/spreadsheetml/2006/main" count="458" uniqueCount="235">
  <si>
    <t>POLLO INFANTIL CON QUINUA</t>
  </si>
  <si>
    <t>% DE COSTO</t>
  </si>
  <si>
    <t>PRECIO DE VENTA</t>
  </si>
  <si>
    <t>COSTO</t>
  </si>
  <si>
    <t>MENÚ INFANTIL</t>
  </si>
  <si>
    <t>BOWL VEGANO</t>
  </si>
  <si>
    <t>RAVIOLIS DE CHAMPIÑONES</t>
  </si>
  <si>
    <t>OPCIÓN VEGETARIANA</t>
  </si>
  <si>
    <t>HAMBURGUESA DE CORDERO</t>
  </si>
  <si>
    <t>HAMBURGUESA ANGUS PREMIUM</t>
  </si>
  <si>
    <t>HAMBURGUESA ARTESANAL DE LA CASA</t>
  </si>
  <si>
    <t>CORDERO AHUMADO</t>
  </si>
  <si>
    <t>PUNTA DE ANCA ASADA</t>
  </si>
  <si>
    <t>CHURRASCO DE RES</t>
  </si>
  <si>
    <t>CARNES DEL CORRAL</t>
  </si>
  <si>
    <t>TRUCHA TROPICAL</t>
  </si>
  <si>
    <t>TRUCHA DE COCO</t>
  </si>
  <si>
    <t>TRUCHA CON ALMENDRAS</t>
  </si>
  <si>
    <t>TRUCHA AL AJILLO</t>
  </si>
  <si>
    <t>TRUCHA CON CHAMPIÑONES</t>
  </si>
  <si>
    <t>TRUCHA A LA CRIOLLA</t>
  </si>
  <si>
    <t>TRUCHA AHUMADA DE LA HUERTA</t>
  </si>
  <si>
    <t>TESOROS DEL RIO</t>
  </si>
  <si>
    <t>COSTILLAS DE CERDO BBQ</t>
  </si>
  <si>
    <t>SABORES DEL CERDO</t>
  </si>
  <si>
    <t>TORTA DE ALMOJABANA</t>
  </si>
  <si>
    <t>PALITOS DE QUESO</t>
  </si>
  <si>
    <t>COSTO MAX</t>
  </si>
  <si>
    <t>DULCES FINAES</t>
  </si>
  <si>
    <t>COPA DE VINO ORGANICO</t>
  </si>
  <si>
    <t>CANELAZO</t>
  </si>
  <si>
    <t>CARAJILLO</t>
  </si>
  <si>
    <t>CERVEZA ARTESANAL ARTESANOS</t>
  </si>
  <si>
    <t>BEBIDAS DE LICOR</t>
  </si>
  <si>
    <t>CAFÉ CAMPESINO</t>
  </si>
  <si>
    <t xml:space="preserve">AROMATICA DE FRUTAS </t>
  </si>
  <si>
    <t>AGUAPANELA +  QUESO + BIZCOCHO</t>
  </si>
  <si>
    <t>CHUCULA EN LECHE O EN AGUA + QUESO + BIZCOCHO</t>
  </si>
  <si>
    <t>CHOCOLATE EN AGUA O LECHE + QUESO + BIZCOCHO</t>
  </si>
  <si>
    <t>BEBIDAS CALIENTES</t>
  </si>
  <si>
    <t>JARRA DE JUGO DE TEMPORADA</t>
  </si>
  <si>
    <t>JARRA DE LIMONADA</t>
  </si>
  <si>
    <t>SODIFICADA DE UCHUVA</t>
  </si>
  <si>
    <t>SODIFICADA DE UVA Y ALBAHACA</t>
  </si>
  <si>
    <t>SODIFICADA DE TAMARINDO</t>
  </si>
  <si>
    <t xml:space="preserve">SODIFICADO DE PIÑACHIPOTEL </t>
  </si>
  <si>
    <t>SODIFICADO DE FRUTOS AMARILLOS</t>
  </si>
  <si>
    <t>SODIFICADO DE FRUTOS ROJOS</t>
  </si>
  <si>
    <t>LIMONADA CASERA</t>
  </si>
  <si>
    <t>JUGO DE UCHUVA Y MENTA</t>
  </si>
  <si>
    <t>JUGO DE FRUTOS AMARILLOS</t>
  </si>
  <si>
    <t>JUGO DE FRUTOS ROJOS</t>
  </si>
  <si>
    <t>BEBIDAS REFRESCANTES</t>
  </si>
  <si>
    <t xml:space="preserve">ALMA RURAL </t>
  </si>
  <si>
    <t>VERSIÓN 3</t>
  </si>
  <si>
    <t xml:space="preserve">TALLER COSTOS </t>
  </si>
  <si>
    <t>INICIA EL DIA EN EL CAMPO</t>
  </si>
  <si>
    <t>HUEVOS EN CACEROLA</t>
  </si>
  <si>
    <t>HUEVOS NAPOLITANOS</t>
  </si>
  <si>
    <t>HUEVOS AL GUSTO</t>
  </si>
  <si>
    <t>OMELETTE</t>
  </si>
  <si>
    <t xml:space="preserve">DESAYUNOS SALUABLES </t>
  </si>
  <si>
    <t>BOWL NUTRITIVO</t>
  </si>
  <si>
    <t>WAFFLE</t>
  </si>
  <si>
    <t>BATIDO VERDE</t>
  </si>
  <si>
    <t>ENTRADAS DE LA HUERTA</t>
  </si>
  <si>
    <t>PATACONAS DE LAS MONTAÑAS COLOMBIANAS</t>
  </si>
  <si>
    <t>DULCE TENTACIÓN ABORRAJADA</t>
  </si>
  <si>
    <t>CHICHARRON CAMPESINO</t>
  </si>
  <si>
    <t>REVISAR VALORES DE RECETA</t>
  </si>
  <si>
    <t>AVES DEL CORRAL</t>
  </si>
  <si>
    <t>BROCHETAS DE POLLO A LA BRASA</t>
  </si>
  <si>
    <t>POLLO CRIOLLO SALTEADO</t>
  </si>
  <si>
    <t>PECHUGA DE POLLO A LA PARRILLA</t>
  </si>
  <si>
    <t>PECHUGA DE POLLO EN SALSA DE CHAMPIÑONES</t>
  </si>
  <si>
    <t>UNIDADES DE MEDIDA</t>
  </si>
  <si>
    <t>SIMBOLO</t>
  </si>
  <si>
    <t>GRAMOS</t>
  </si>
  <si>
    <t>GR</t>
  </si>
  <si>
    <t>UNIDADES DE MEDIDA PARA PESO</t>
  </si>
  <si>
    <t>LIBRAS</t>
  </si>
  <si>
    <t>LB</t>
  </si>
  <si>
    <t>CARNES ROJAS</t>
  </si>
  <si>
    <t>UND/M</t>
  </si>
  <si>
    <t>PRECIO COMPRA</t>
  </si>
  <si>
    <t>COSTO GR</t>
  </si>
  <si>
    <t>V/ PORCIÓN</t>
  </si>
  <si>
    <t>KILOGRAMOS</t>
  </si>
  <si>
    <t>KL</t>
  </si>
  <si>
    <t>PUNTA DE ANCA</t>
  </si>
  <si>
    <t>CENTIMETROS CUBICOS</t>
  </si>
  <si>
    <t>CC</t>
  </si>
  <si>
    <t>UNIDADES DE MEDIDA PARA VOLUMEN</t>
  </si>
  <si>
    <t>LOMO ANCHO</t>
  </si>
  <si>
    <t>LITROS</t>
  </si>
  <si>
    <t>LTS</t>
  </si>
  <si>
    <t>MURILLO PIERNA</t>
  </si>
  <si>
    <t xml:space="preserve">UNIDADES  </t>
  </si>
  <si>
    <t>UND</t>
  </si>
  <si>
    <t>VALOR INDIVIDUAL</t>
  </si>
  <si>
    <t>HUESO DE COGOTE</t>
  </si>
  <si>
    <t>PECHO KILO</t>
  </si>
  <si>
    <t>MORRILLO KILO</t>
  </si>
  <si>
    <t>PESCADOS Y MARISCOS</t>
  </si>
  <si>
    <t>COSTO und</t>
  </si>
  <si>
    <t>TRUCHA</t>
  </si>
  <si>
    <t>CAMARON CRUDO</t>
  </si>
  <si>
    <t>CERDO</t>
  </si>
  <si>
    <t>COSTILLA DE CERDO</t>
  </si>
  <si>
    <t>TOCINO BARRIGUERO</t>
  </si>
  <si>
    <t>TOCINO CARNUDO</t>
  </si>
  <si>
    <t>PAPADA</t>
  </si>
  <si>
    <t>JAMON RICA</t>
  </si>
  <si>
    <t>PERNIL CERDO</t>
  </si>
  <si>
    <t>TOCINETA AHUMADA X250</t>
  </si>
  <si>
    <t>POLLO</t>
  </si>
  <si>
    <t>PECHUGA DE POLLO</t>
  </si>
  <si>
    <t>ALAS DE POLLO</t>
  </si>
  <si>
    <t>VERDURAS</t>
  </si>
  <si>
    <t>MAZORCA CHOCLO</t>
  </si>
  <si>
    <t>PAPA CRIOLLA</t>
  </si>
  <si>
    <t>YUCA</t>
  </si>
  <si>
    <t>LECHUGA BATAVIA</t>
  </si>
  <si>
    <t>AGUACATE</t>
  </si>
  <si>
    <t>AREPAS PQT X 10</t>
  </si>
  <si>
    <t>UN</t>
  </si>
  <si>
    <t>HUEVO AA</t>
  </si>
  <si>
    <t>CHAMPIÑON</t>
  </si>
  <si>
    <t>ESPINACA</t>
  </si>
  <si>
    <t>APIO</t>
  </si>
  <si>
    <t>ATADO</t>
  </si>
  <si>
    <t>PAPA PASTUSA</t>
  </si>
  <si>
    <t>MALLA DE AJO</t>
  </si>
  <si>
    <t>CEBOLLA LARGA</t>
  </si>
  <si>
    <t>TOMATE CHONTO</t>
  </si>
  <si>
    <t>LIMON</t>
  </si>
  <si>
    <t>CEBOLLA CABEZONA BLANCA</t>
  </si>
  <si>
    <t>CEBOLLA CABEZONA ROJA</t>
  </si>
  <si>
    <t>MANZANA VERDE</t>
  </si>
  <si>
    <t>PEPINO COHOMBRO</t>
  </si>
  <si>
    <t>PIÑA ORO MIEL</t>
  </si>
  <si>
    <t>BANANO</t>
  </si>
  <si>
    <t xml:space="preserve">FRESA </t>
  </si>
  <si>
    <t>LULO</t>
  </si>
  <si>
    <t>ZANAHORIA</t>
  </si>
  <si>
    <t>MANGO</t>
  </si>
  <si>
    <t>REPOLLO MORADO</t>
  </si>
  <si>
    <t>PLATANO VERDE</t>
  </si>
  <si>
    <t>PIMENTON</t>
  </si>
  <si>
    <t>HIERBAS Y ESPECIAS</t>
  </si>
  <si>
    <t>CILANTRO ATADO</t>
  </si>
  <si>
    <t>CILANTRON MONIK</t>
  </si>
  <si>
    <t xml:space="preserve">CANELA </t>
  </si>
  <si>
    <t xml:space="preserve">CLAVOS </t>
  </si>
  <si>
    <t>LAUREL</t>
  </si>
  <si>
    <t>TOMILLO</t>
  </si>
  <si>
    <t>ROMERO</t>
  </si>
  <si>
    <t>CURRY</t>
  </si>
  <si>
    <t>LACTEOS Y DERIVADOS</t>
  </si>
  <si>
    <t>LECHE MERCACENTRO X 1000 CC</t>
  </si>
  <si>
    <t>CREMA DE LECHE COLANTA</t>
  </si>
  <si>
    <t>QUESO CRIOLLO</t>
  </si>
  <si>
    <t>CREMA DE COCO</t>
  </si>
  <si>
    <t>YOGURTH TARRITO</t>
  </si>
  <si>
    <t>UNIDAD</t>
  </si>
  <si>
    <t>ENCURTIDOS Y SALSAS</t>
  </si>
  <si>
    <t>VINAGRE</t>
  </si>
  <si>
    <t>PEPINILLOS</t>
  </si>
  <si>
    <t>ABARROTES Y OTROS</t>
  </si>
  <si>
    <t>CHUCULA TOCAIMA  500 GR</t>
  </si>
  <si>
    <t>PANELA CUADRO</t>
  </si>
  <si>
    <t>MARGARINA RAMMA BALDE * 4 KL</t>
  </si>
  <si>
    <t>CHIP DE CHOCOLATE 1/2</t>
  </si>
  <si>
    <t>ALMIYUCA</t>
  </si>
  <si>
    <t>ACEITE GIRASOL</t>
  </si>
  <si>
    <t>ARROZ DIANA PREMIUM</t>
  </si>
  <si>
    <t>AZUCAR MERCACENTRO</t>
  </si>
  <si>
    <t>FRIJOL CARGAMANTO</t>
  </si>
  <si>
    <t>QUINUA PEPA</t>
  </si>
  <si>
    <t>SAL</t>
  </si>
  <si>
    <t>HARINA DE TRIGO</t>
  </si>
  <si>
    <t>HARINA DE YUCA</t>
  </si>
  <si>
    <t>POLVO DE HORNEAR</t>
  </si>
  <si>
    <t>PEPRON CHINO</t>
  </si>
  <si>
    <t>HOJA DE PLATANO</t>
  </si>
  <si>
    <t>PASTILLA DE CHOCOLATE</t>
  </si>
  <si>
    <t>ACEITE BIDON</t>
  </si>
  <si>
    <t>SODA</t>
  </si>
  <si>
    <t>PALOS DE PINCHO</t>
  </si>
  <si>
    <t>SAL PARRILLERA</t>
  </si>
  <si>
    <t xml:space="preserve">CUERDA </t>
  </si>
  <si>
    <t>CM</t>
  </si>
  <si>
    <t>PIMIENTA MOLID</t>
  </si>
  <si>
    <t>CERVEZA POKER</t>
  </si>
  <si>
    <t>SALSA SOYA</t>
  </si>
  <si>
    <t>LT</t>
  </si>
  <si>
    <t>SALSA INGLESA</t>
  </si>
  <si>
    <t>BIZCOCHOS</t>
  </si>
  <si>
    <t>GRANOLA</t>
  </si>
  <si>
    <t>BOCADILLO</t>
  </si>
  <si>
    <t>ALMENDRAS</t>
  </si>
  <si>
    <t>VINO BLANCO COCINA</t>
  </si>
  <si>
    <t>ESENCIA DE VAINILLA</t>
  </si>
  <si>
    <t>BICARBONATO</t>
  </si>
  <si>
    <t>COCO FRUTA</t>
  </si>
  <si>
    <t>ALBAHACA</t>
  </si>
  <si>
    <t>AJONJOLI</t>
  </si>
  <si>
    <t>ARROZ DIANA COCO</t>
  </si>
  <si>
    <t>ACEITE DE OLIVA</t>
  </si>
  <si>
    <t>RECETAS ESTANDAR ALMA RURAL 2025</t>
  </si>
  <si>
    <t>RECETA #</t>
  </si>
  <si>
    <t># PORCIONES</t>
  </si>
  <si>
    <t>COD.</t>
  </si>
  <si>
    <t>INGREDIENTES</t>
  </si>
  <si>
    <t>UNID</t>
  </si>
  <si>
    <t>CANT.</t>
  </si>
  <si>
    <t>V/UNIT.</t>
  </si>
  <si>
    <t>V/TOTAL</t>
  </si>
  <si>
    <t>COSTO TOTAL DE LOS INGREDIENTES</t>
  </si>
  <si>
    <t>MARGEN DE ERROR O VARIACIÓN</t>
  </si>
  <si>
    <t>COSTO DE UNA PORCION + EL MARGEN DE ERROR</t>
  </si>
  <si>
    <t>COSTO TOTAL DE UNA PORCION</t>
  </si>
  <si>
    <t>LISTA MAESTRA</t>
  </si>
  <si>
    <t>'RECETA BASE'</t>
  </si>
  <si>
    <t>:</t>
  </si>
  <si>
    <t># RECETA</t>
  </si>
  <si>
    <t>COSTO TOTAL DE LA PREPARACIÓN + MARGEN DE ERROR</t>
  </si>
  <si>
    <t>COSTO DE UNA PORCIÓN SUMANDO EL MARGEN DE ERROR</t>
  </si>
  <si>
    <t>% COSTO MATERIA PRIMA ESTABLECIDO POR GERENCIA</t>
  </si>
  <si>
    <t>PRECIO POTENCIAL DE VENTA DE UNA PORCIÓN</t>
  </si>
  <si>
    <t>PRECIO REAL DE VENTA DE UNA PORCIÓN</t>
  </si>
  <si>
    <t>% REAL DE COSTO (COSTO PORCIÓN SOBRE PRECIO REAL VENTA)</t>
  </si>
  <si>
    <t>IVA GENERADO AL VENDER CADA PORCIÓN</t>
  </si>
  <si>
    <t>PRECIO PARA LA CARTA DE CADA PORCIÓN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</si>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</sst>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&quot;$&quot;* #,##0_-;\-&quot;$&quot;* #,##0_-;_-&quot;$&quot;* &quot;-&quot;_-;_-@"/>
    <numFmt numFmtId="165" formatCode="_-&quot;$&quot;\ * #,##0_-;\-&quot;$&quot;\ * #,##0_-;_-&quot;$&quot;\ * &quot;-&quot;??_-;_-@_-"/>
    <numFmt numFmtId="166" formatCode="_-&quot;$&quot;\ * #,##0_-;\-&quot;$&quot;\ * #,##0_-;_-&quot;$&quot;\ * &quot;-&quot;_-;_-@"/>
    <numFmt numFmtId="167" formatCode="000"/>
    <numFmt numFmtId="168" formatCode="0.0"/>
    <numFmt numFmtId="169" formatCode="_-&quot;$&quot;\ * #,##0.00_-;\-&quot;$&quot;\ * #,##0.00_-;_-&quot;$&quot;\ * &quot;-&quot;??_-;_-@"/>
    <numFmt numFmtId="170" formatCode="_-&quot;$&quot;\ * #,##0_-;\-&quot;$&quot;\ * #,##0_-;_-&quot;$&quot;\ * &quot;-&quot;??_-;_-@"/>
    <numFmt numFmtId="171" formatCode="#,##0.0"/>
    <numFmt numFmtId="172" formatCode="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9"/>
      <color rgb="FF000000"/>
      <name val="Arial"/>
      <family val="2"/>
    </font>
    <font>
      <b/>
      <sz val="9"/>
      <color theme="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</font>
    <font>
      <b/>
      <sz val="10"/>
      <color rgb="FF9933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1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theme="1"/>
      </patternFill>
    </fill>
    <fill>
      <patternFill patternType="solid">
        <fgColor rgb="FF757070"/>
        <bgColor rgb="FF757070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C55A11"/>
        <bgColor rgb="FFC55A11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00B050"/>
        <bgColor rgb="FF00B05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2" borderId="1" xfId="0" applyNumberFormat="1" applyFont="1" applyFill="1" applyBorder="1"/>
    <xf numFmtId="165" fontId="2" fillId="2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0" xfId="1" applyNumberFormat="1" applyFont="1"/>
    <xf numFmtId="0" fontId="2" fillId="3" borderId="0" xfId="0" applyFont="1" applyFill="1"/>
    <xf numFmtId="164" fontId="3" fillId="4" borderId="1" xfId="0" applyNumberFormat="1" applyFont="1" applyFill="1" applyBorder="1" applyAlignment="1">
      <alignment horizontal="center"/>
    </xf>
    <xf numFmtId="0" fontId="4" fillId="5" borderId="2" xfId="0" applyFont="1" applyFill="1" applyBorder="1"/>
    <xf numFmtId="0" fontId="5" fillId="6" borderId="3" xfId="0" applyFont="1" applyFill="1" applyBorder="1" applyAlignment="1">
      <alignment horizontal="center"/>
    </xf>
    <xf numFmtId="44" fontId="2" fillId="2" borderId="1" xfId="1" applyFont="1" applyFill="1" applyBorder="1"/>
    <xf numFmtId="164" fontId="2" fillId="0" borderId="1" xfId="0" applyNumberFormat="1" applyFont="1" applyBorder="1"/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2" fillId="0" borderId="1" xfId="2" applyFont="1" applyBorder="1"/>
    <xf numFmtId="3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9" fontId="2" fillId="0" borderId="1" xfId="0" applyNumberFormat="1" applyFont="1" applyBorder="1"/>
    <xf numFmtId="0" fontId="4" fillId="7" borderId="5" xfId="0" applyFont="1" applyFill="1" applyBorder="1"/>
    <xf numFmtId="0" fontId="9" fillId="8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14" fontId="9" fillId="8" borderId="5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10" fillId="0" borderId="10" xfId="0" applyFont="1" applyBorder="1" applyAlignment="1">
      <alignment horizontal="center"/>
    </xf>
    <xf numFmtId="9" fontId="2" fillId="5" borderId="1" xfId="2" applyFont="1" applyFill="1" applyBorder="1"/>
    <xf numFmtId="9" fontId="2" fillId="2" borderId="1" xfId="2" applyFont="1" applyFill="1" applyBorder="1"/>
    <xf numFmtId="0" fontId="11" fillId="0" borderId="8" xfId="0" applyFont="1" applyBorder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2" xfId="0" applyFont="1" applyBorder="1"/>
    <xf numFmtId="0" fontId="11" fillId="0" borderId="0" xfId="0" applyFont="1"/>
    <xf numFmtId="0" fontId="12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4" fontId="10" fillId="9" borderId="3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164" fontId="15" fillId="12" borderId="1" xfId="0" applyNumberFormat="1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12" borderId="1" xfId="0" applyFont="1" applyFill="1" applyBorder="1"/>
    <xf numFmtId="0" fontId="4" fillId="0" borderId="14" xfId="0" applyFont="1" applyBorder="1"/>
    <xf numFmtId="0" fontId="1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/>
    <xf numFmtId="166" fontId="11" fillId="0" borderId="1" xfId="0" applyNumberFormat="1" applyFont="1" applyBorder="1"/>
    <xf numFmtId="0" fontId="11" fillId="0" borderId="1" xfId="0" applyFont="1" applyBorder="1"/>
    <xf numFmtId="0" fontId="11" fillId="13" borderId="1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 wrapText="1"/>
    </xf>
    <xf numFmtId="164" fontId="15" fillId="0" borderId="1" xfId="0" applyNumberFormat="1" applyFont="1" applyBorder="1"/>
    <xf numFmtId="0" fontId="16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164" fontId="11" fillId="16" borderId="1" xfId="0" applyNumberFormat="1" applyFont="1" applyFill="1" applyBorder="1"/>
    <xf numFmtId="166" fontId="11" fillId="16" borderId="1" xfId="0" applyNumberFormat="1" applyFont="1" applyFill="1" applyBorder="1"/>
    <xf numFmtId="0" fontId="16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164" fontId="11" fillId="17" borderId="1" xfId="0" applyNumberFormat="1" applyFont="1" applyFill="1" applyBorder="1"/>
    <xf numFmtId="166" fontId="11" fillId="17" borderId="1" xfId="0" applyNumberFormat="1" applyFont="1" applyFill="1" applyBorder="1"/>
    <xf numFmtId="0" fontId="14" fillId="12" borderId="15" xfId="0" applyFont="1" applyFill="1" applyBorder="1" applyAlignment="1">
      <alignment horizontal="center" vertical="center"/>
    </xf>
    <xf numFmtId="0" fontId="15" fillId="12" borderId="15" xfId="0" applyFont="1" applyFill="1" applyBorder="1" applyAlignment="1">
      <alignment horizontal="center" vertical="center"/>
    </xf>
    <xf numFmtId="164" fontId="15" fillId="12" borderId="0" xfId="0" applyNumberFormat="1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0" xfId="0" applyFont="1" applyFill="1"/>
    <xf numFmtId="164" fontId="11" fillId="0" borderId="0" xfId="0" applyNumberFormat="1" applyFont="1"/>
    <xf numFmtId="0" fontId="11" fillId="0" borderId="0" xfId="0" applyFont="1" applyAlignment="1">
      <alignment horizontal="center" vertical="center"/>
    </xf>
    <xf numFmtId="1" fontId="11" fillId="0" borderId="0" xfId="0" applyNumberFormat="1" applyFont="1"/>
    <xf numFmtId="2" fontId="11" fillId="0" borderId="0" xfId="0" applyNumberFormat="1" applyFont="1"/>
    <xf numFmtId="3" fontId="17" fillId="18" borderId="16" xfId="0" applyNumberFormat="1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18" fillId="4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19" fillId="0" borderId="5" xfId="3" applyFill="1" applyBorder="1" applyAlignment="1">
      <alignment horizontal="center" vertical="center"/>
    </xf>
    <xf numFmtId="44" fontId="20" fillId="19" borderId="2" xfId="1" applyFont="1" applyFill="1" applyBorder="1" applyAlignment="1">
      <alignment horizontal="center" vertical="center"/>
    </xf>
    <xf numFmtId="167" fontId="20" fillId="19" borderId="12" xfId="0" applyNumberFormat="1" applyFont="1" applyFill="1" applyBorder="1" applyAlignment="1">
      <alignment horizontal="center" vertical="center"/>
    </xf>
    <xf numFmtId="44" fontId="20" fillId="19" borderId="12" xfId="1" applyFont="1" applyFill="1" applyBorder="1" applyAlignment="1">
      <alignment horizontal="center" vertical="center"/>
    </xf>
    <xf numFmtId="3" fontId="20" fillId="19" borderId="15" xfId="0" applyNumberFormat="1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168" fontId="17" fillId="3" borderId="8" xfId="0" applyNumberFormat="1" applyFont="1" applyFill="1" applyBorder="1" applyAlignment="1">
      <alignment horizontal="center" vertical="center" wrapText="1"/>
    </xf>
    <xf numFmtId="44" fontId="17" fillId="3" borderId="10" xfId="1" applyFont="1" applyFill="1" applyBorder="1" applyAlignment="1">
      <alignment horizontal="center" vertical="center" wrapText="1"/>
    </xf>
    <xf numFmtId="4" fontId="17" fillId="3" borderId="15" xfId="0" applyNumberFormat="1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" fontId="17" fillId="19" borderId="10" xfId="0" applyNumberFormat="1" applyFont="1" applyFill="1" applyBorder="1" applyAlignment="1">
      <alignment horizontal="center" vertical="center"/>
    </xf>
    <xf numFmtId="44" fontId="17" fillId="19" borderId="10" xfId="1" applyFont="1" applyFill="1" applyBorder="1" applyAlignment="1">
      <alignment horizontal="center" vertical="center"/>
    </xf>
    <xf numFmtId="169" fontId="17" fillId="19" borderId="15" xfId="0" applyNumberFormat="1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left"/>
    </xf>
    <xf numFmtId="0" fontId="20" fillId="19" borderId="9" xfId="0" applyFont="1" applyFill="1" applyBorder="1" applyAlignment="1">
      <alignment horizontal="center" vertical="center"/>
    </xf>
    <xf numFmtId="1" fontId="20" fillId="19" borderId="10" xfId="0" applyNumberFormat="1" applyFont="1" applyFill="1" applyBorder="1" applyAlignment="1">
      <alignment horizontal="center" vertical="center"/>
    </xf>
    <xf numFmtId="44" fontId="20" fillId="19" borderId="10" xfId="1" applyFont="1" applyFill="1" applyBorder="1" applyAlignment="1">
      <alignment vertical="center"/>
    </xf>
    <xf numFmtId="169" fontId="17" fillId="19" borderId="15" xfId="0" applyNumberFormat="1" applyFont="1" applyFill="1" applyBorder="1" applyAlignment="1">
      <alignment vertical="center"/>
    </xf>
    <xf numFmtId="0" fontId="21" fillId="20" borderId="3" xfId="0" applyFont="1" applyFill="1" applyBorder="1" applyAlignment="1">
      <alignment horizontal="left" vertical="center"/>
    </xf>
    <xf numFmtId="170" fontId="22" fillId="20" borderId="1" xfId="0" applyNumberFormat="1" applyFont="1" applyFill="1" applyBorder="1" applyAlignment="1">
      <alignment vertical="center"/>
    </xf>
    <xf numFmtId="0" fontId="21" fillId="21" borderId="3" xfId="0" applyFont="1" applyFill="1" applyBorder="1" applyAlignment="1">
      <alignment horizontal="left" vertical="center"/>
    </xf>
    <xf numFmtId="9" fontId="21" fillId="21" borderId="1" xfId="2" applyFont="1" applyFill="1" applyBorder="1" applyAlignment="1">
      <alignment horizontal="center" vertical="center"/>
    </xf>
    <xf numFmtId="170" fontId="23" fillId="21" borderId="1" xfId="0" applyNumberFormat="1" applyFont="1" applyFill="1" applyBorder="1" applyAlignment="1">
      <alignment vertical="center"/>
    </xf>
    <xf numFmtId="171" fontId="21" fillId="21" borderId="3" xfId="0" applyNumberFormat="1" applyFont="1" applyFill="1" applyBorder="1" applyAlignment="1">
      <alignment horizontal="left" vertical="center"/>
    </xf>
    <xf numFmtId="170" fontId="21" fillId="21" borderId="1" xfId="0" applyNumberFormat="1" applyFont="1" applyFill="1" applyBorder="1" applyAlignment="1">
      <alignment vertical="center"/>
    </xf>
    <xf numFmtId="44" fontId="0" fillId="0" borderId="0" xfId="1" applyFont="1"/>
    <xf numFmtId="0" fontId="17" fillId="19" borderId="10" xfId="0" applyFont="1" applyFill="1" applyBorder="1" applyAlignment="1">
      <alignment horizontal="left" vertical="center"/>
    </xf>
    <xf numFmtId="171" fontId="21" fillId="21" borderId="11" xfId="0" applyNumberFormat="1" applyFont="1" applyFill="1" applyBorder="1" applyAlignment="1">
      <alignment horizontal="left" vertical="center"/>
    </xf>
    <xf numFmtId="171" fontId="21" fillId="21" borderId="2" xfId="0" applyNumberFormat="1" applyFont="1" applyFill="1" applyBorder="1" applyAlignment="1">
      <alignment horizontal="left" vertical="center"/>
    </xf>
    <xf numFmtId="0" fontId="24" fillId="22" borderId="0" xfId="0" applyFont="1" applyFill="1"/>
    <xf numFmtId="0" fontId="24" fillId="3" borderId="1" xfId="0" applyFont="1" applyFill="1" applyBorder="1"/>
    <xf numFmtId="4" fontId="20" fillId="19" borderId="2" xfId="0" applyNumberFormat="1" applyFont="1" applyFill="1" applyBorder="1" applyAlignment="1">
      <alignment horizontal="center" vertical="center"/>
    </xf>
    <xf numFmtId="4" fontId="20" fillId="19" borderId="12" xfId="0" applyNumberFormat="1" applyFont="1" applyFill="1" applyBorder="1" applyAlignment="1">
      <alignment horizontal="center" vertical="center"/>
    </xf>
    <xf numFmtId="172" fontId="1" fillId="0" borderId="0" xfId="0" applyNumberFormat="1" applyFont="1"/>
    <xf numFmtId="9" fontId="1" fillId="0" borderId="0" xfId="0" applyNumberFormat="1" applyFont="1"/>
    <xf numFmtId="0" fontId="21" fillId="3" borderId="8" xfId="0" applyFont="1" applyFill="1" applyBorder="1" applyAlignment="1">
      <alignment horizontal="center" vertical="center" wrapText="1"/>
    </xf>
    <xf numFmtId="168" fontId="21" fillId="3" borderId="8" xfId="0" applyNumberFormat="1" applyFont="1" applyFill="1" applyBorder="1" applyAlignment="1">
      <alignment horizontal="center" vertical="center" wrapText="1"/>
    </xf>
    <xf numFmtId="4" fontId="21" fillId="3" borderId="10" xfId="0" applyNumberFormat="1" applyFont="1" applyFill="1" applyBorder="1" applyAlignment="1">
      <alignment horizontal="center" vertical="center" wrapText="1"/>
    </xf>
    <xf numFmtId="4" fontId="21" fillId="3" borderId="15" xfId="0" applyNumberFormat="1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171" fontId="21" fillId="0" borderId="1" xfId="0" applyNumberFormat="1" applyFont="1" applyBorder="1" applyAlignment="1">
      <alignment horizontal="left"/>
    </xf>
    <xf numFmtId="171" fontId="21" fillId="19" borderId="1" xfId="0" applyNumberFormat="1" applyFont="1" applyFill="1" applyBorder="1" applyAlignment="1">
      <alignment horizontal="center" vertical="center"/>
    </xf>
    <xf numFmtId="3" fontId="21" fillId="19" borderId="1" xfId="0" applyNumberFormat="1" applyFont="1" applyFill="1" applyBorder="1" applyAlignment="1">
      <alignment horizontal="center" vertical="center"/>
    </xf>
    <xf numFmtId="165" fontId="21" fillId="19" borderId="1" xfId="1" applyNumberFormat="1" applyFont="1" applyFill="1" applyBorder="1" applyAlignment="1">
      <alignment horizontal="center" vertical="center" wrapText="1"/>
    </xf>
    <xf numFmtId="165" fontId="21" fillId="19" borderId="1" xfId="1" applyNumberFormat="1" applyFont="1" applyFill="1" applyBorder="1" applyAlignment="1">
      <alignment vertical="center"/>
    </xf>
    <xf numFmtId="0" fontId="23" fillId="19" borderId="15" xfId="0" applyFont="1" applyFill="1" applyBorder="1" applyAlignment="1">
      <alignment horizontal="center" vertical="center"/>
    </xf>
    <xf numFmtId="171" fontId="21" fillId="0" borderId="15" xfId="0" applyNumberFormat="1" applyFont="1" applyBorder="1" applyAlignment="1">
      <alignment horizontal="left"/>
    </xf>
    <xf numFmtId="3" fontId="21" fillId="19" borderId="15" xfId="0" applyNumberFormat="1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3" fontId="21" fillId="19" borderId="1" xfId="0" applyNumberFormat="1" applyFont="1" applyFill="1" applyBorder="1" applyAlignment="1">
      <alignment vertical="center"/>
    </xf>
    <xf numFmtId="171" fontId="21" fillId="20" borderId="3" xfId="0" applyNumberFormat="1" applyFont="1" applyFill="1" applyBorder="1" applyAlignment="1">
      <alignment horizontal="left" vertical="center"/>
    </xf>
    <xf numFmtId="171" fontId="21" fillId="20" borderId="11" xfId="0" applyNumberFormat="1" applyFont="1" applyFill="1" applyBorder="1" applyAlignment="1">
      <alignment horizontal="left" vertical="center"/>
    </xf>
    <xf numFmtId="171" fontId="21" fillId="20" borderId="2" xfId="0" applyNumberFormat="1" applyFont="1" applyFill="1" applyBorder="1" applyAlignment="1">
      <alignment horizontal="left" vertical="center"/>
    </xf>
    <xf numFmtId="3" fontId="22" fillId="20" borderId="1" xfId="0" applyNumberFormat="1" applyFont="1" applyFill="1" applyBorder="1" applyAlignment="1">
      <alignment vertical="center"/>
    </xf>
    <xf numFmtId="9" fontId="21" fillId="21" borderId="1" xfId="0" applyNumberFormat="1" applyFont="1" applyFill="1" applyBorder="1" applyAlignment="1">
      <alignment horizontal="center" vertical="center"/>
    </xf>
    <xf numFmtId="3" fontId="23" fillId="21" borderId="1" xfId="0" applyNumberFormat="1" applyFont="1" applyFill="1" applyBorder="1" applyAlignment="1">
      <alignment vertical="center"/>
    </xf>
    <xf numFmtId="3" fontId="21" fillId="20" borderId="1" xfId="0" applyNumberFormat="1" applyFont="1" applyFill="1" applyBorder="1" applyAlignment="1">
      <alignment vertical="center"/>
    </xf>
    <xf numFmtId="3" fontId="25" fillId="21" borderId="1" xfId="0" applyNumberFormat="1" applyFont="1" applyFill="1" applyBorder="1" applyAlignment="1">
      <alignment vertical="center"/>
    </xf>
    <xf numFmtId="9" fontId="21" fillId="20" borderId="1" xfId="0" applyNumberFormat="1" applyFont="1" applyFill="1" applyBorder="1" applyAlignment="1">
      <alignment vertical="center"/>
    </xf>
    <xf numFmtId="171" fontId="21" fillId="21" borderId="3" xfId="0" applyNumberFormat="1" applyFont="1" applyFill="1" applyBorder="1" applyAlignment="1">
      <alignment horizontal="center" vertical="center"/>
    </xf>
    <xf numFmtId="171" fontId="21" fillId="21" borderId="11" xfId="0" applyNumberFormat="1" applyFont="1" applyFill="1" applyBorder="1" applyAlignment="1">
      <alignment horizontal="center" vertical="center"/>
    </xf>
    <xf numFmtId="171" fontId="21" fillId="21" borderId="2" xfId="0" applyNumberFormat="1" applyFont="1" applyFill="1" applyBorder="1" applyAlignment="1">
      <alignment horizontal="center" vertical="center"/>
    </xf>
    <xf numFmtId="9" fontId="23" fillId="21" borderId="1" xfId="0" applyNumberFormat="1" applyFont="1" applyFill="1" applyBorder="1" applyAlignment="1">
      <alignment vertical="center"/>
    </xf>
    <xf numFmtId="9" fontId="21" fillId="20" borderId="1" xfId="0" applyNumberFormat="1" applyFont="1" applyFill="1" applyBorder="1" applyAlignment="1">
      <alignment horizontal="center" vertical="center"/>
    </xf>
    <xf numFmtId="3" fontId="22" fillId="21" borderId="1" xfId="0" applyNumberFormat="1" applyFont="1" applyFill="1" applyBorder="1" applyAlignment="1">
      <alignment vertical="center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2181225" cy="590550"/>
    <xdr:pic>
      <xdr:nvPicPr>
        <xdr:cNvPr id="2" name="image1.png">
          <a:extLst>
            <a:ext uri="{FF2B5EF4-FFF2-40B4-BE49-F238E27FC236}">
              <a16:creationId xmlns:a16="http://schemas.microsoft.com/office/drawing/2014/main" id="{E2349942-DC3A-48B9-BCC8-9518B303C2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123825"/>
          <a:ext cx="218122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0</xdr:row>
      <xdr:rowOff>133350</xdr:rowOff>
    </xdr:from>
    <xdr:ext cx="21812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92CCAD9B-B141-4670-A87A-A83495FECE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0575" y="133350"/>
          <a:ext cx="21812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0</xdr:row>
      <xdr:rowOff>133350</xdr:rowOff>
    </xdr:from>
    <xdr:ext cx="21812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B55050A0-6392-43AD-8395-6470C71395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7775" y="133350"/>
          <a:ext cx="2181225" cy="561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andarizaci&#243;n%20carta%20comidas%20Alma%20ru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TOS"/>
      <sheetName val="LISTA MAESTRA"/>
      <sheetName val="RECETA BASE"/>
      <sheetName val="ESTANDAR CAMPO"/>
      <sheetName val="ESTANDAR SALUDABLE"/>
      <sheetName val="ESTANDAR ENTRADAS"/>
      <sheetName val="AVES DEL CORRAL"/>
      <sheetName val="SABORES DE CERDO"/>
      <sheetName val="TESOROS DEL RIO"/>
      <sheetName val="CARNE DEL CORRAL"/>
      <sheetName val="VEGETARIANOS"/>
      <sheetName val="PRESUPUESTO"/>
      <sheetName val="SALSA DE AJO"/>
      <sheetName val="REDUCCIÓN BALSAMICO"/>
      <sheetName val="MIEL DE JENGIBRE"/>
      <sheetName val="DE LA CASA"/>
    </sheetNames>
    <sheetDataSet>
      <sheetData sheetId="0" refreshError="1"/>
      <sheetData sheetId="1">
        <row r="8">
          <cell r="D8">
            <v>23.6</v>
          </cell>
        </row>
      </sheetData>
      <sheetData sheetId="2">
        <row r="16">
          <cell r="F16">
            <v>2348.96</v>
          </cell>
        </row>
      </sheetData>
      <sheetData sheetId="3">
        <row r="1">
          <cell r="A1" t="str">
            <v>CAMPESINO</v>
          </cell>
        </row>
        <row r="14">
          <cell r="F14">
            <v>10960.311333333333</v>
          </cell>
        </row>
        <row r="40">
          <cell r="F40">
            <v>5599.4441666666662</v>
          </cell>
        </row>
        <row r="66">
          <cell r="F66">
            <v>10381.881666666666</v>
          </cell>
        </row>
        <row r="92">
          <cell r="F92">
            <v>6606.1866666666665</v>
          </cell>
        </row>
      </sheetData>
      <sheetData sheetId="4">
        <row r="11">
          <cell r="F11">
            <v>8428.4</v>
          </cell>
        </row>
        <row r="34">
          <cell r="F34">
            <v>12612.754999999999</v>
          </cell>
        </row>
        <row r="53">
          <cell r="F53">
            <v>5247</v>
          </cell>
        </row>
      </sheetData>
      <sheetData sheetId="5">
        <row r="10">
          <cell r="F10">
            <v>8117.3730564373891</v>
          </cell>
        </row>
        <row r="31">
          <cell r="F31">
            <v>4219.1000000000004</v>
          </cell>
        </row>
        <row r="58">
          <cell r="F58">
            <v>20268.461499999998</v>
          </cell>
        </row>
      </sheetData>
      <sheetData sheetId="6">
        <row r="12">
          <cell r="F12">
            <v>13380.574357993748</v>
          </cell>
        </row>
        <row r="37">
          <cell r="F37">
            <v>14881.543889770723</v>
          </cell>
        </row>
        <row r="60">
          <cell r="F60">
            <v>13139.214357993747</v>
          </cell>
        </row>
        <row r="84">
          <cell r="F84">
            <v>16639.606993219</v>
          </cell>
        </row>
      </sheetData>
      <sheetData sheetId="7">
        <row r="15">
          <cell r="F15">
            <v>15004.538999999999</v>
          </cell>
        </row>
      </sheetData>
      <sheetData sheetId="8">
        <row r="18">
          <cell r="F18">
            <v>16181.877796590239</v>
          </cell>
        </row>
        <row r="44">
          <cell r="F44">
            <v>17423.27311287478</v>
          </cell>
        </row>
        <row r="70">
          <cell r="F70">
            <v>19572.272159885666</v>
          </cell>
        </row>
        <row r="98">
          <cell r="F98">
            <v>19152.59267241379</v>
          </cell>
        </row>
        <row r="126">
          <cell r="F126">
            <v>20528.19217241379</v>
          </cell>
        </row>
        <row r="155">
          <cell r="F155">
            <v>22267.545505747126</v>
          </cell>
        </row>
        <row r="185">
          <cell r="F185">
            <v>22889.142172413791</v>
          </cell>
        </row>
      </sheetData>
      <sheetData sheetId="9">
        <row r="15">
          <cell r="F15">
            <v>20555.530147467434</v>
          </cell>
        </row>
        <row r="40">
          <cell r="F40">
            <v>22321.765147467435</v>
          </cell>
        </row>
        <row r="68">
          <cell r="F68">
            <v>5006.5554473684206</v>
          </cell>
        </row>
        <row r="94">
          <cell r="F94">
            <v>10498.627492693373</v>
          </cell>
        </row>
        <row r="122">
          <cell r="F122">
            <v>6744.7739999999994</v>
          </cell>
        </row>
        <row r="148">
          <cell r="F148">
            <v>6744.7739999999994</v>
          </cell>
        </row>
      </sheetData>
      <sheetData sheetId="10">
        <row r="15">
          <cell r="F15">
            <v>8153.1263265523321</v>
          </cell>
        </row>
        <row r="60">
          <cell r="F60">
            <v>10114.541463256906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F1CB-D727-46D6-8E76-256A9A2B2739}">
  <sheetPr>
    <tabColor rgb="FF00B050"/>
  </sheetPr>
  <dimension ref="A1:Z941"/>
  <sheetViews>
    <sheetView topLeftCell="A94" workbookViewId="0">
      <selection activeCell="A108" sqref="A108"/>
    </sheetView>
  </sheetViews>
  <sheetFormatPr baseColWidth="10" defaultColWidth="14.42578125" defaultRowHeight="15" customHeight="1" x14ac:dyDescent="0.25"/>
  <cols>
    <col min="1" max="1" width="33.42578125" style="1" customWidth="1"/>
    <col min="2" max="2" width="8.140625" style="1" customWidth="1"/>
    <col min="3" max="3" width="15.7109375" customWidth="1"/>
    <col min="4" max="4" width="11.42578125" customWidth="1"/>
    <col min="5" max="5" width="14.28515625" customWidth="1"/>
    <col min="6" max="6" width="17" customWidth="1"/>
    <col min="7" max="7" width="21.85546875" customWidth="1"/>
    <col min="8" max="10" width="11.42578125" customWidth="1"/>
    <col min="11" max="26" width="10.7109375" customWidth="1"/>
  </cols>
  <sheetData>
    <row r="1" spans="1:26" x14ac:dyDescent="0.25">
      <c r="A1" s="41"/>
      <c r="B1" s="42"/>
      <c r="C1" s="43" t="s">
        <v>55</v>
      </c>
      <c r="D1" s="44"/>
      <c r="E1" s="45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x14ac:dyDescent="0.25">
      <c r="A2" s="36"/>
      <c r="B2" s="42"/>
      <c r="C2" s="43" t="s">
        <v>54</v>
      </c>
      <c r="D2" s="44"/>
      <c r="E2" s="45"/>
      <c r="F2" s="46"/>
      <c r="G2" s="47" t="s">
        <v>75</v>
      </c>
      <c r="H2" s="48" t="s">
        <v>76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x14ac:dyDescent="0.25">
      <c r="A3" s="36"/>
      <c r="B3" s="42"/>
      <c r="C3" s="49">
        <v>44802</v>
      </c>
      <c r="D3" s="44"/>
      <c r="E3" s="45"/>
      <c r="F3" s="46"/>
      <c r="G3" s="50" t="s">
        <v>77</v>
      </c>
      <c r="H3" s="50" t="s">
        <v>78</v>
      </c>
      <c r="I3" s="51" t="s">
        <v>79</v>
      </c>
      <c r="J3" s="52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6.5" customHeight="1" x14ac:dyDescent="0.25">
      <c r="A4" s="36"/>
      <c r="B4" s="42"/>
      <c r="C4" s="43" t="s">
        <v>53</v>
      </c>
      <c r="D4" s="44"/>
      <c r="E4" s="45"/>
      <c r="F4" s="46"/>
      <c r="G4" s="50" t="s">
        <v>80</v>
      </c>
      <c r="H4" s="50" t="s">
        <v>81</v>
      </c>
      <c r="I4" s="36"/>
      <c r="J4" s="53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5.75" x14ac:dyDescent="0.25">
      <c r="A5" s="54" t="s">
        <v>82</v>
      </c>
      <c r="B5" s="55" t="s">
        <v>83</v>
      </c>
      <c r="C5" s="56" t="s">
        <v>84</v>
      </c>
      <c r="D5" s="57" t="s">
        <v>85</v>
      </c>
      <c r="E5" s="58" t="s">
        <v>86</v>
      </c>
      <c r="F5" s="46"/>
      <c r="G5" s="50" t="s">
        <v>87</v>
      </c>
      <c r="H5" s="50" t="s">
        <v>88</v>
      </c>
      <c r="I5" s="33"/>
      <c r="J5" s="59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x14ac:dyDescent="0.25">
      <c r="A6" s="60" t="s">
        <v>89</v>
      </c>
      <c r="B6" s="61" t="s">
        <v>88</v>
      </c>
      <c r="C6" s="62">
        <v>48800</v>
      </c>
      <c r="D6" s="63">
        <f>+C6/1000</f>
        <v>48.8</v>
      </c>
      <c r="E6" s="64"/>
      <c r="F6" s="46"/>
      <c r="G6" s="65" t="s">
        <v>90</v>
      </c>
      <c r="H6" s="65" t="s">
        <v>91</v>
      </c>
      <c r="I6" s="66" t="s">
        <v>92</v>
      </c>
      <c r="J6" s="52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5.75" x14ac:dyDescent="0.25">
      <c r="A7" s="60" t="s">
        <v>93</v>
      </c>
      <c r="B7" s="61" t="s">
        <v>88</v>
      </c>
      <c r="C7" s="62">
        <v>44000</v>
      </c>
      <c r="D7" s="63">
        <f>+C7/1000</f>
        <v>44</v>
      </c>
      <c r="E7" s="64"/>
      <c r="F7" s="46"/>
      <c r="G7" s="65" t="s">
        <v>94</v>
      </c>
      <c r="H7" s="65" t="s">
        <v>95</v>
      </c>
      <c r="I7" s="33"/>
      <c r="J7" s="59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5.75" x14ac:dyDescent="0.25">
      <c r="A8" s="60" t="s">
        <v>96</v>
      </c>
      <c r="B8" s="61" t="s">
        <v>88</v>
      </c>
      <c r="C8" s="62">
        <v>23600</v>
      </c>
      <c r="D8" s="63">
        <f>+C8/1000</f>
        <v>23.6</v>
      </c>
      <c r="E8" s="64"/>
      <c r="F8" s="46"/>
      <c r="G8" s="67" t="s">
        <v>97</v>
      </c>
      <c r="H8" s="67" t="s">
        <v>98</v>
      </c>
      <c r="I8" s="68" t="s">
        <v>99</v>
      </c>
      <c r="J8" s="45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5.75" x14ac:dyDescent="0.25">
      <c r="A9" s="60" t="s">
        <v>100</v>
      </c>
      <c r="B9" s="61" t="s">
        <v>88</v>
      </c>
      <c r="C9" s="62">
        <v>10710</v>
      </c>
      <c r="D9" s="63">
        <f>+C9/1000</f>
        <v>10.71</v>
      </c>
      <c r="E9" s="64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5.75" x14ac:dyDescent="0.25">
      <c r="A10" s="60" t="s">
        <v>101</v>
      </c>
      <c r="B10" s="61" t="s">
        <v>88</v>
      </c>
      <c r="C10" s="62">
        <v>27600</v>
      </c>
      <c r="D10" s="63">
        <f>+C10/1000</f>
        <v>27.6</v>
      </c>
      <c r="E10" s="64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5.75" x14ac:dyDescent="0.25">
      <c r="A11" s="60" t="s">
        <v>102</v>
      </c>
      <c r="B11" s="61" t="s">
        <v>88</v>
      </c>
      <c r="C11" s="62">
        <v>24000</v>
      </c>
      <c r="D11" s="63">
        <f>+C11/1000</f>
        <v>24</v>
      </c>
      <c r="E11" s="64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5.75" x14ac:dyDescent="0.25">
      <c r="A12" s="60"/>
      <c r="B12" s="61"/>
      <c r="C12" s="62"/>
      <c r="D12" s="63"/>
      <c r="E12" s="64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5" customHeight="1" x14ac:dyDescent="0.25">
      <c r="A13" s="54" t="s">
        <v>103</v>
      </c>
      <c r="B13" s="55" t="s">
        <v>83</v>
      </c>
      <c r="C13" s="56" t="s">
        <v>84</v>
      </c>
      <c r="D13" s="57" t="s">
        <v>104</v>
      </c>
      <c r="E13" s="58" t="s">
        <v>86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5.75" x14ac:dyDescent="0.25">
      <c r="A14" s="60" t="s">
        <v>105</v>
      </c>
      <c r="B14" s="61" t="s">
        <v>88</v>
      </c>
      <c r="C14" s="62">
        <v>229680</v>
      </c>
      <c r="D14" s="63">
        <f>+C14/20</f>
        <v>11484</v>
      </c>
      <c r="E14" s="64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5.75" x14ac:dyDescent="0.25">
      <c r="A15" s="60" t="s">
        <v>106</v>
      </c>
      <c r="B15" s="61" t="s">
        <v>88</v>
      </c>
      <c r="C15" s="62">
        <v>38000</v>
      </c>
      <c r="D15" s="63">
        <f>+C15/1000</f>
        <v>38</v>
      </c>
      <c r="E15" s="64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5.75" x14ac:dyDescent="0.25">
      <c r="A16" s="60"/>
      <c r="B16" s="61"/>
      <c r="C16" s="62"/>
      <c r="D16" s="63"/>
      <c r="E16" s="64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5" customHeight="1" x14ac:dyDescent="0.25">
      <c r="A17" s="60"/>
      <c r="B17" s="61"/>
      <c r="C17" s="62"/>
      <c r="D17" s="63"/>
      <c r="E17" s="64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5.75" customHeight="1" x14ac:dyDescent="0.25">
      <c r="A18" s="60"/>
      <c r="B18" s="61"/>
      <c r="C18" s="62"/>
      <c r="D18" s="63"/>
      <c r="E18" s="64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5.75" customHeight="1" x14ac:dyDescent="0.25">
      <c r="A19" s="60"/>
      <c r="B19" s="61"/>
      <c r="C19" s="62"/>
      <c r="D19" s="63"/>
      <c r="E19" s="64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5.75" customHeight="1" x14ac:dyDescent="0.25">
      <c r="A20" s="54" t="s">
        <v>107</v>
      </c>
      <c r="B20" s="55" t="s">
        <v>83</v>
      </c>
      <c r="C20" s="56" t="s">
        <v>84</v>
      </c>
      <c r="D20" s="57" t="s">
        <v>85</v>
      </c>
      <c r="E20" s="58" t="s">
        <v>86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25">
      <c r="A21" s="60" t="s">
        <v>108</v>
      </c>
      <c r="B21" s="61" t="s">
        <v>88</v>
      </c>
      <c r="C21" s="69">
        <v>23600</v>
      </c>
      <c r="D21" s="63">
        <f>+C21/1000</f>
        <v>23.6</v>
      </c>
      <c r="E21" s="64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25">
      <c r="A22" s="60" t="s">
        <v>109</v>
      </c>
      <c r="B22" s="61" t="s">
        <v>88</v>
      </c>
      <c r="C22" s="69">
        <v>22000</v>
      </c>
      <c r="D22" s="63">
        <f>+C22/1000</f>
        <v>22</v>
      </c>
      <c r="E22" s="6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25">
      <c r="A23" s="60" t="s">
        <v>110</v>
      </c>
      <c r="B23" s="61" t="s">
        <v>88</v>
      </c>
      <c r="C23" s="69">
        <v>28000</v>
      </c>
      <c r="D23" s="63">
        <f>+C23/1000</f>
        <v>28</v>
      </c>
      <c r="E23" s="6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25">
      <c r="A24" s="60" t="s">
        <v>111</v>
      </c>
      <c r="B24" s="61" t="s">
        <v>88</v>
      </c>
      <c r="C24" s="62">
        <v>19000</v>
      </c>
      <c r="D24" s="63">
        <f>+C24/1000</f>
        <v>19</v>
      </c>
      <c r="E24" s="6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25">
      <c r="A25" s="70" t="s">
        <v>112</v>
      </c>
      <c r="B25" s="71" t="s">
        <v>78</v>
      </c>
      <c r="C25" s="72">
        <v>8400</v>
      </c>
      <c r="D25" s="73">
        <f>+C25/15</f>
        <v>560</v>
      </c>
      <c r="E25" s="64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25">
      <c r="A26" s="74" t="s">
        <v>113</v>
      </c>
      <c r="B26" s="75" t="s">
        <v>78</v>
      </c>
      <c r="C26" s="76">
        <v>23600</v>
      </c>
      <c r="D26" s="77">
        <f>+C26/1000</f>
        <v>23.6</v>
      </c>
      <c r="E26" s="64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25">
      <c r="A27" s="74" t="s">
        <v>114</v>
      </c>
      <c r="B27" s="75" t="s">
        <v>78</v>
      </c>
      <c r="C27" s="76">
        <v>6600</v>
      </c>
      <c r="D27" s="77">
        <f>+C27/10</f>
        <v>660</v>
      </c>
      <c r="E27" s="64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25">
      <c r="A28" s="60"/>
      <c r="B28" s="61"/>
      <c r="C28" s="62"/>
      <c r="D28" s="63"/>
      <c r="E28" s="64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25">
      <c r="A29" s="54" t="s">
        <v>115</v>
      </c>
      <c r="B29" s="55" t="s">
        <v>83</v>
      </c>
      <c r="C29" s="56" t="s">
        <v>84</v>
      </c>
      <c r="D29" s="57" t="s">
        <v>85</v>
      </c>
      <c r="E29" s="58" t="s">
        <v>86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25">
      <c r="A30" s="60" t="s">
        <v>116</v>
      </c>
      <c r="B30" s="61" t="s">
        <v>88</v>
      </c>
      <c r="C30" s="62">
        <v>23400</v>
      </c>
      <c r="D30" s="63">
        <f>+C30/1000</f>
        <v>23.4</v>
      </c>
      <c r="E30" s="63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25">
      <c r="A31" s="60" t="s">
        <v>117</v>
      </c>
      <c r="B31" s="61" t="s">
        <v>88</v>
      </c>
      <c r="C31" s="62">
        <v>16400</v>
      </c>
      <c r="D31" s="63">
        <f>+C31/1000</f>
        <v>16.399999999999999</v>
      </c>
      <c r="E31" s="64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25">
      <c r="A32" s="78" t="s">
        <v>118</v>
      </c>
      <c r="B32" s="79" t="s">
        <v>83</v>
      </c>
      <c r="C32" s="80" t="s">
        <v>84</v>
      </c>
      <c r="D32" s="81" t="s">
        <v>85</v>
      </c>
      <c r="E32" s="82" t="s">
        <v>86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" customHeight="1" x14ac:dyDescent="0.25">
      <c r="A33" s="60" t="s">
        <v>119</v>
      </c>
      <c r="B33" s="61" t="s">
        <v>78</v>
      </c>
      <c r="C33" s="62">
        <v>6500</v>
      </c>
      <c r="D33" s="63">
        <f>+C33/1000</f>
        <v>6.5</v>
      </c>
      <c r="E33" s="64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25">
      <c r="A34" s="60" t="s">
        <v>120</v>
      </c>
      <c r="B34" s="61" t="s">
        <v>78</v>
      </c>
      <c r="C34" s="62">
        <v>6800</v>
      </c>
      <c r="D34" s="63">
        <f>+C34/1000</f>
        <v>6.8</v>
      </c>
      <c r="E34" s="64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25">
      <c r="A35" s="60" t="s">
        <v>121</v>
      </c>
      <c r="B35" s="61" t="s">
        <v>78</v>
      </c>
      <c r="C35" s="62">
        <v>5700</v>
      </c>
      <c r="D35" s="63">
        <f>+C35/1000</f>
        <v>5.7</v>
      </c>
      <c r="E35" s="64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25">
      <c r="A36" s="60" t="s">
        <v>122</v>
      </c>
      <c r="B36" s="61" t="s">
        <v>78</v>
      </c>
      <c r="C36" s="62">
        <v>2200</v>
      </c>
      <c r="D36" s="63">
        <f>+C36/250</f>
        <v>8.8000000000000007</v>
      </c>
      <c r="E36" s="64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25">
      <c r="A37" s="60" t="s">
        <v>123</v>
      </c>
      <c r="B37" s="61" t="s">
        <v>78</v>
      </c>
      <c r="C37" s="62">
        <v>12000</v>
      </c>
      <c r="D37" s="63">
        <f>+C37/1000</f>
        <v>12</v>
      </c>
      <c r="E37" s="64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25">
      <c r="A38" s="60" t="s">
        <v>124</v>
      </c>
      <c r="B38" s="61" t="s">
        <v>125</v>
      </c>
      <c r="C38" s="62">
        <v>1000</v>
      </c>
      <c r="D38" s="63">
        <f>+C38/10</f>
        <v>100</v>
      </c>
      <c r="E38" s="64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25">
      <c r="A39" s="60" t="s">
        <v>126</v>
      </c>
      <c r="B39" s="61" t="s">
        <v>98</v>
      </c>
      <c r="C39" s="62">
        <v>13000</v>
      </c>
      <c r="D39" s="63">
        <f>+C39/30</f>
        <v>433.33333333333331</v>
      </c>
      <c r="E39" s="64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25">
      <c r="A40" s="60" t="s">
        <v>127</v>
      </c>
      <c r="B40" s="61" t="s">
        <v>78</v>
      </c>
      <c r="C40" s="62">
        <v>7300</v>
      </c>
      <c r="D40" s="63">
        <f>+C40/250</f>
        <v>29.2</v>
      </c>
      <c r="E40" s="64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25">
      <c r="A41" s="60" t="s">
        <v>128</v>
      </c>
      <c r="B41" s="61" t="s">
        <v>78</v>
      </c>
      <c r="C41" s="62">
        <v>3400</v>
      </c>
      <c r="D41" s="63">
        <f>+C41/200</f>
        <v>17</v>
      </c>
      <c r="E41" s="64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25">
      <c r="A42" s="60" t="s">
        <v>129</v>
      </c>
      <c r="B42" s="61" t="s">
        <v>130</v>
      </c>
      <c r="C42" s="62">
        <v>3000</v>
      </c>
      <c r="D42" s="63">
        <f>+C42/250</f>
        <v>12</v>
      </c>
      <c r="E42" s="64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25">
      <c r="A43" s="60" t="s">
        <v>131</v>
      </c>
      <c r="B43" s="61" t="s">
        <v>88</v>
      </c>
      <c r="C43" s="62">
        <v>2900</v>
      </c>
      <c r="D43" s="63">
        <f>+C43/1000</f>
        <v>2.9</v>
      </c>
      <c r="E43" s="64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" customHeight="1" x14ac:dyDescent="0.25">
      <c r="A44" s="60" t="s">
        <v>132</v>
      </c>
      <c r="B44" s="61">
        <v>125</v>
      </c>
      <c r="C44" s="62">
        <v>1100</v>
      </c>
      <c r="D44" s="63">
        <f>+C44/50</f>
        <v>22</v>
      </c>
      <c r="E44" s="64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25">
      <c r="A45" s="60" t="s">
        <v>133</v>
      </c>
      <c r="B45" s="61" t="s">
        <v>81</v>
      </c>
      <c r="C45" s="62">
        <v>3400</v>
      </c>
      <c r="D45" s="63">
        <f>+C45/500</f>
        <v>6.8</v>
      </c>
      <c r="E45" s="64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25">
      <c r="A46" s="60" t="s">
        <v>134</v>
      </c>
      <c r="B46" s="61" t="s">
        <v>88</v>
      </c>
      <c r="C46" s="62">
        <v>3200</v>
      </c>
      <c r="D46" s="63">
        <f>+C46/1000</f>
        <v>3.2</v>
      </c>
      <c r="E46" s="64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customHeight="1" x14ac:dyDescent="0.25">
      <c r="A47" s="60" t="s">
        <v>135</v>
      </c>
      <c r="B47" s="61" t="s">
        <v>88</v>
      </c>
      <c r="C47" s="62">
        <v>5700</v>
      </c>
      <c r="D47" s="63">
        <f>+C47/1000</f>
        <v>5.7</v>
      </c>
      <c r="E47" s="64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" customHeight="1" x14ac:dyDescent="0.25">
      <c r="A48" s="60" t="s">
        <v>136</v>
      </c>
      <c r="B48" s="61" t="s">
        <v>88</v>
      </c>
      <c r="C48" s="62">
        <v>3700</v>
      </c>
      <c r="D48" s="63">
        <f>+C48/1000</f>
        <v>3.7</v>
      </c>
      <c r="E48" s="64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customHeight="1" x14ac:dyDescent="0.25">
      <c r="A49" s="60" t="s">
        <v>137</v>
      </c>
      <c r="B49" s="61" t="s">
        <v>88</v>
      </c>
      <c r="C49" s="62">
        <v>4600</v>
      </c>
      <c r="D49" s="63">
        <f>+C49/1000</f>
        <v>4.5999999999999996</v>
      </c>
      <c r="E49" s="64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customHeight="1" x14ac:dyDescent="0.25">
      <c r="A50" s="60" t="s">
        <v>138</v>
      </c>
      <c r="B50" s="61" t="s">
        <v>98</v>
      </c>
      <c r="C50" s="62">
        <v>2600</v>
      </c>
      <c r="D50" s="63">
        <f>+C50/1</f>
        <v>2600</v>
      </c>
      <c r="E50" s="64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customHeight="1" x14ac:dyDescent="0.25">
      <c r="A51" s="60" t="s">
        <v>139</v>
      </c>
      <c r="B51" s="61" t="s">
        <v>88</v>
      </c>
      <c r="C51" s="62">
        <v>3700</v>
      </c>
      <c r="D51" s="63">
        <f>+C51/1000</f>
        <v>3.7</v>
      </c>
      <c r="E51" s="64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customHeight="1" x14ac:dyDescent="0.25">
      <c r="A52" s="60" t="s">
        <v>140</v>
      </c>
      <c r="B52" s="61" t="s">
        <v>88</v>
      </c>
      <c r="C52" s="62">
        <v>3500</v>
      </c>
      <c r="D52" s="63">
        <f>+C52/1000</f>
        <v>3.5</v>
      </c>
      <c r="E52" s="64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customHeight="1" x14ac:dyDescent="0.25">
      <c r="A53" s="60" t="s">
        <v>141</v>
      </c>
      <c r="B53" s="61" t="s">
        <v>88</v>
      </c>
      <c r="C53" s="62">
        <v>3200</v>
      </c>
      <c r="D53" s="63">
        <f>+C53/1000</f>
        <v>3.2</v>
      </c>
      <c r="E53" s="64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customHeight="1" x14ac:dyDescent="0.25">
      <c r="A54" s="60" t="s">
        <v>142</v>
      </c>
      <c r="B54" s="61">
        <v>250</v>
      </c>
      <c r="C54" s="62">
        <v>5500</v>
      </c>
      <c r="D54" s="63">
        <f>+C54/250</f>
        <v>22</v>
      </c>
      <c r="E54" s="64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customHeight="1" x14ac:dyDescent="0.25">
      <c r="A55" s="60" t="s">
        <v>143</v>
      </c>
      <c r="B55" s="61" t="s">
        <v>88</v>
      </c>
      <c r="C55" s="62">
        <v>6500</v>
      </c>
      <c r="D55" s="63">
        <f>+C55/1000</f>
        <v>6.5</v>
      </c>
      <c r="E55" s="64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customHeight="1" x14ac:dyDescent="0.25">
      <c r="A56" s="60" t="s">
        <v>144</v>
      </c>
      <c r="B56" s="61" t="s">
        <v>88</v>
      </c>
      <c r="C56" s="62">
        <v>5900</v>
      </c>
      <c r="D56" s="63">
        <f>+C56/1000</f>
        <v>5.9</v>
      </c>
      <c r="E56" s="64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customHeight="1" x14ac:dyDescent="0.25">
      <c r="A57" s="60" t="s">
        <v>145</v>
      </c>
      <c r="B57" s="61" t="s">
        <v>88</v>
      </c>
      <c r="C57" s="62">
        <v>5800</v>
      </c>
      <c r="D57" s="63">
        <f>+C57/1000</f>
        <v>5.8</v>
      </c>
      <c r="E57" s="64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customHeight="1" x14ac:dyDescent="0.25">
      <c r="A58" s="60" t="s">
        <v>146</v>
      </c>
      <c r="B58" s="61" t="s">
        <v>88</v>
      </c>
      <c r="C58" s="62">
        <v>7800</v>
      </c>
      <c r="D58" s="63">
        <f>+C58/1000</f>
        <v>7.8</v>
      </c>
      <c r="E58" s="64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x14ac:dyDescent="0.25">
      <c r="A59" s="60" t="s">
        <v>147</v>
      </c>
      <c r="B59" s="61" t="s">
        <v>88</v>
      </c>
      <c r="C59" s="62">
        <v>7000</v>
      </c>
      <c r="D59" s="63">
        <f>+C59/1000</f>
        <v>7</v>
      </c>
      <c r="E59" s="64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5.75" customHeight="1" x14ac:dyDescent="0.25">
      <c r="A60" s="60" t="s">
        <v>148</v>
      </c>
      <c r="B60" s="61" t="s">
        <v>88</v>
      </c>
      <c r="C60" s="62">
        <v>10600</v>
      </c>
      <c r="D60" s="63">
        <f>+C60/1000</f>
        <v>10.6</v>
      </c>
      <c r="E60" s="64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5.75" customHeight="1" x14ac:dyDescent="0.25">
      <c r="A61" s="78" t="s">
        <v>149</v>
      </c>
      <c r="B61" s="79" t="s">
        <v>83</v>
      </c>
      <c r="C61" s="80" t="s">
        <v>84</v>
      </c>
      <c r="D61" s="81" t="s">
        <v>85</v>
      </c>
      <c r="E61" s="82" t="s">
        <v>86</v>
      </c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 x14ac:dyDescent="0.25">
      <c r="A62" s="60" t="s">
        <v>150</v>
      </c>
      <c r="B62" s="61" t="s">
        <v>78</v>
      </c>
      <c r="C62" s="62">
        <v>1700</v>
      </c>
      <c r="D62" s="63">
        <f>+C62/500</f>
        <v>3.4</v>
      </c>
      <c r="E62" s="64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5.75" customHeight="1" x14ac:dyDescent="0.25">
      <c r="A63" s="60" t="s">
        <v>151</v>
      </c>
      <c r="B63" s="61" t="s">
        <v>78</v>
      </c>
      <c r="C63" s="62">
        <v>1550</v>
      </c>
      <c r="D63" s="63">
        <f>+C63/30</f>
        <v>51.666666666666664</v>
      </c>
      <c r="E63" s="64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 x14ac:dyDescent="0.25">
      <c r="A64" s="60" t="s">
        <v>152</v>
      </c>
      <c r="B64" s="61" t="s">
        <v>78</v>
      </c>
      <c r="C64" s="62">
        <v>4100</v>
      </c>
      <c r="D64" s="63">
        <f>+C64/20</f>
        <v>205</v>
      </c>
      <c r="E64" s="64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5.75" customHeight="1" x14ac:dyDescent="0.25">
      <c r="A65" s="60" t="s">
        <v>153</v>
      </c>
      <c r="B65" s="61" t="s">
        <v>78</v>
      </c>
      <c r="C65" s="62">
        <v>1400</v>
      </c>
      <c r="D65" s="63">
        <f>+C65/10</f>
        <v>140</v>
      </c>
      <c r="E65" s="64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customHeight="1" x14ac:dyDescent="0.25">
      <c r="A66" s="60" t="s">
        <v>154</v>
      </c>
      <c r="B66" s="61" t="s">
        <v>78</v>
      </c>
      <c r="C66" s="62">
        <v>6400</v>
      </c>
      <c r="D66" s="63">
        <f>+C66/5.67</f>
        <v>1128.7477954144622</v>
      </c>
      <c r="E66" s="64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customHeight="1" x14ac:dyDescent="0.25">
      <c r="A67" s="60" t="s">
        <v>155</v>
      </c>
      <c r="B67" s="61" t="s">
        <v>78</v>
      </c>
      <c r="C67" s="62">
        <v>800</v>
      </c>
      <c r="D67" s="63">
        <f>+C67/10</f>
        <v>80</v>
      </c>
      <c r="E67" s="64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customHeight="1" x14ac:dyDescent="0.25">
      <c r="A68" s="60" t="s">
        <v>156</v>
      </c>
      <c r="B68" s="61" t="s">
        <v>78</v>
      </c>
      <c r="C68" s="62">
        <v>1250</v>
      </c>
      <c r="D68" s="63">
        <f>+C68/10</f>
        <v>125</v>
      </c>
      <c r="E68" s="64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x14ac:dyDescent="0.25">
      <c r="A69" s="60" t="s">
        <v>157</v>
      </c>
      <c r="B69" s="61" t="s">
        <v>78</v>
      </c>
      <c r="C69" s="62">
        <v>2100</v>
      </c>
      <c r="D69" s="63">
        <f>+C69/20</f>
        <v>105</v>
      </c>
      <c r="E69" s="64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5.75" customHeight="1" x14ac:dyDescent="0.25">
      <c r="A70" s="60"/>
      <c r="B70" s="61"/>
      <c r="C70" s="62"/>
      <c r="D70" s="63"/>
      <c r="E70" s="64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5.75" customHeight="1" x14ac:dyDescent="0.25">
      <c r="A71" s="78" t="s">
        <v>158</v>
      </c>
      <c r="B71" s="79" t="s">
        <v>83</v>
      </c>
      <c r="C71" s="80" t="s">
        <v>84</v>
      </c>
      <c r="D71" s="81" t="s">
        <v>85</v>
      </c>
      <c r="E71" s="82" t="s">
        <v>86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5.75" customHeight="1" x14ac:dyDescent="0.25">
      <c r="A72" s="60" t="s">
        <v>159</v>
      </c>
      <c r="B72" s="61" t="s">
        <v>91</v>
      </c>
      <c r="C72" s="62">
        <v>3650</v>
      </c>
      <c r="D72" s="63">
        <f>+C72/1000</f>
        <v>3.65</v>
      </c>
      <c r="E72" s="64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customHeight="1" x14ac:dyDescent="0.25">
      <c r="A73" s="60" t="s">
        <v>160</v>
      </c>
      <c r="B73" s="61" t="s">
        <v>78</v>
      </c>
      <c r="C73" s="62">
        <v>17600</v>
      </c>
      <c r="D73" s="63">
        <f>+C73/870</f>
        <v>20.229885057471265</v>
      </c>
      <c r="E73" s="64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customHeight="1" x14ac:dyDescent="0.25">
      <c r="A74" s="60" t="s">
        <v>161</v>
      </c>
      <c r="B74" s="61" t="s">
        <v>81</v>
      </c>
      <c r="C74" s="62">
        <v>11700</v>
      </c>
      <c r="D74" s="63">
        <f>+C74/500</f>
        <v>23.4</v>
      </c>
      <c r="E74" s="64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5.75" customHeight="1" x14ac:dyDescent="0.25">
      <c r="A75" s="60" t="s">
        <v>162</v>
      </c>
      <c r="B75" s="61" t="s">
        <v>78</v>
      </c>
      <c r="C75" s="62">
        <v>16100</v>
      </c>
      <c r="D75" s="63">
        <f>+C75/400</f>
        <v>40.25</v>
      </c>
      <c r="E75" s="64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5.75" customHeight="1" x14ac:dyDescent="0.25">
      <c r="A76" s="60" t="s">
        <v>163</v>
      </c>
      <c r="B76" s="61" t="s">
        <v>164</v>
      </c>
      <c r="C76" s="62">
        <v>2500</v>
      </c>
      <c r="D76" s="63">
        <f>+C76/1</f>
        <v>2500</v>
      </c>
      <c r="E76" s="64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 x14ac:dyDescent="0.25">
      <c r="A77" s="60"/>
      <c r="B77" s="61"/>
      <c r="C77" s="62"/>
      <c r="D77" s="63"/>
      <c r="E77" s="64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5.75" customHeight="1" x14ac:dyDescent="0.25">
      <c r="A78" s="60"/>
      <c r="B78" s="61"/>
      <c r="C78" s="62"/>
      <c r="D78" s="63"/>
      <c r="E78" s="64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customHeight="1" x14ac:dyDescent="0.25">
      <c r="A79" s="78" t="s">
        <v>165</v>
      </c>
      <c r="B79" s="79" t="s">
        <v>83</v>
      </c>
      <c r="C79" s="80" t="s">
        <v>84</v>
      </c>
      <c r="D79" s="81" t="s">
        <v>85</v>
      </c>
      <c r="E79" s="82" t="s">
        <v>86</v>
      </c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customHeight="1" x14ac:dyDescent="0.25">
      <c r="A80" s="60" t="s">
        <v>166</v>
      </c>
      <c r="B80" s="61" t="s">
        <v>91</v>
      </c>
      <c r="C80" s="62">
        <v>6300</v>
      </c>
      <c r="D80" s="63">
        <f>+C80/1000</f>
        <v>6.3</v>
      </c>
      <c r="E80" s="64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customHeight="1" x14ac:dyDescent="0.25">
      <c r="A81" s="60" t="s">
        <v>167</v>
      </c>
      <c r="B81" s="61" t="s">
        <v>78</v>
      </c>
      <c r="C81" s="62">
        <v>6100</v>
      </c>
      <c r="D81" s="63">
        <f>+C81/250</f>
        <v>24.4</v>
      </c>
      <c r="E81" s="64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5.75" customHeight="1" x14ac:dyDescent="0.25">
      <c r="A82" s="60"/>
      <c r="B82" s="61"/>
      <c r="C82" s="62"/>
      <c r="D82" s="63"/>
      <c r="E82" s="64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customHeight="1" x14ac:dyDescent="0.25">
      <c r="A83" s="60"/>
      <c r="B83" s="61"/>
      <c r="C83" s="62"/>
      <c r="D83" s="63"/>
      <c r="E83" s="64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customHeight="1" x14ac:dyDescent="0.25">
      <c r="A84" s="78" t="s">
        <v>168</v>
      </c>
      <c r="B84" s="79" t="s">
        <v>83</v>
      </c>
      <c r="C84" s="80" t="s">
        <v>84</v>
      </c>
      <c r="D84" s="81" t="s">
        <v>85</v>
      </c>
      <c r="E84" s="82" t="s">
        <v>86</v>
      </c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customHeight="1" x14ac:dyDescent="0.25">
      <c r="A85" s="60" t="s">
        <v>169</v>
      </c>
      <c r="B85" s="61" t="s">
        <v>78</v>
      </c>
      <c r="C85" s="62">
        <v>3700</v>
      </c>
      <c r="D85" s="63">
        <f>+C85/500</f>
        <v>7.4</v>
      </c>
      <c r="E85" s="64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customHeight="1" x14ac:dyDescent="0.25">
      <c r="A86" s="60" t="s">
        <v>170</v>
      </c>
      <c r="B86" s="61" t="s">
        <v>78</v>
      </c>
      <c r="C86" s="62">
        <v>6600</v>
      </c>
      <c r="D86" s="63">
        <f>+C86/1000</f>
        <v>6.6</v>
      </c>
      <c r="E86" s="64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customHeight="1" x14ac:dyDescent="0.25">
      <c r="A87" s="60" t="s">
        <v>171</v>
      </c>
      <c r="B87" s="61" t="s">
        <v>88</v>
      </c>
      <c r="C87" s="69">
        <v>69050</v>
      </c>
      <c r="D87" s="63">
        <f>+C87/4000</f>
        <v>17.262499999999999</v>
      </c>
      <c r="E87" s="64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customHeight="1" x14ac:dyDescent="0.25">
      <c r="A88" s="60" t="s">
        <v>172</v>
      </c>
      <c r="B88" s="61" t="s">
        <v>78</v>
      </c>
      <c r="C88" s="62">
        <v>10602</v>
      </c>
      <c r="D88" s="63">
        <f>+C88/250</f>
        <v>42.408000000000001</v>
      </c>
      <c r="E88" s="64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customHeight="1" x14ac:dyDescent="0.25">
      <c r="A89" s="60" t="s">
        <v>173</v>
      </c>
      <c r="B89" s="61" t="s">
        <v>88</v>
      </c>
      <c r="C89" s="62">
        <v>4000</v>
      </c>
      <c r="D89" s="63">
        <f>+C89/1000</f>
        <v>4</v>
      </c>
      <c r="E89" s="64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customHeight="1" x14ac:dyDescent="0.25">
      <c r="A90" s="60" t="s">
        <v>174</v>
      </c>
      <c r="B90" s="61" t="s">
        <v>91</v>
      </c>
      <c r="C90" s="62">
        <v>22500</v>
      </c>
      <c r="D90" s="63">
        <f>+C90/2000</f>
        <v>11.25</v>
      </c>
      <c r="E90" s="64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5.75" customHeight="1" x14ac:dyDescent="0.25">
      <c r="A91" s="60" t="s">
        <v>175</v>
      </c>
      <c r="B91" s="61" t="s">
        <v>78</v>
      </c>
      <c r="C91" s="62">
        <v>3200</v>
      </c>
      <c r="D91" s="63">
        <f>+C91/500</f>
        <v>6.4</v>
      </c>
      <c r="E91" s="64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x14ac:dyDescent="0.25">
      <c r="A92" s="60" t="s">
        <v>176</v>
      </c>
      <c r="B92" s="61" t="s">
        <v>78</v>
      </c>
      <c r="C92" s="62">
        <v>11250</v>
      </c>
      <c r="D92" s="63">
        <f>+C92/2500</f>
        <v>4.5</v>
      </c>
      <c r="E92" s="64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5.75" customHeight="1" x14ac:dyDescent="0.25">
      <c r="A93" s="60" t="s">
        <v>177</v>
      </c>
      <c r="B93" s="61" t="s">
        <v>78</v>
      </c>
      <c r="C93" s="62">
        <v>5450</v>
      </c>
      <c r="D93" s="63">
        <f>+C93/500</f>
        <v>10.9</v>
      </c>
      <c r="E93" s="64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5.75" customHeight="1" x14ac:dyDescent="0.25">
      <c r="A94" s="60" t="s">
        <v>178</v>
      </c>
      <c r="B94" s="61" t="s">
        <v>78</v>
      </c>
      <c r="C94" s="62">
        <v>16900</v>
      </c>
      <c r="D94" s="63">
        <f>+C94/500</f>
        <v>33.799999999999997</v>
      </c>
      <c r="E94" s="64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5.75" customHeight="1" x14ac:dyDescent="0.25">
      <c r="A95" s="60" t="s">
        <v>179</v>
      </c>
      <c r="B95" s="61" t="s">
        <v>88</v>
      </c>
      <c r="C95" s="62">
        <v>7400</v>
      </c>
      <c r="D95" s="63">
        <f>+C95/3000</f>
        <v>2.4666666666666668</v>
      </c>
      <c r="E95" s="64"/>
      <c r="F95" s="83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5.75" customHeight="1" x14ac:dyDescent="0.25">
      <c r="A96" s="60" t="s">
        <v>180</v>
      </c>
      <c r="B96" s="61" t="s">
        <v>81</v>
      </c>
      <c r="C96" s="62">
        <v>1700</v>
      </c>
      <c r="D96" s="63">
        <f>+C96/500</f>
        <v>3.4</v>
      </c>
      <c r="E96" s="64"/>
      <c r="F96" s="83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5.75" customHeight="1" x14ac:dyDescent="0.25">
      <c r="A97" s="60" t="s">
        <v>181</v>
      </c>
      <c r="B97" s="61" t="s">
        <v>78</v>
      </c>
      <c r="C97" s="62">
        <v>11700</v>
      </c>
      <c r="D97" s="63">
        <f>+C97/300</f>
        <v>39</v>
      </c>
      <c r="E97" s="64"/>
      <c r="F97" s="83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5.75" customHeight="1" x14ac:dyDescent="0.25">
      <c r="A98" s="60" t="s">
        <v>182</v>
      </c>
      <c r="B98" s="61" t="s">
        <v>78</v>
      </c>
      <c r="C98" s="62">
        <v>1900</v>
      </c>
      <c r="D98" s="63">
        <f>+C98/20</f>
        <v>95</v>
      </c>
      <c r="E98" s="64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5.75" customHeight="1" x14ac:dyDescent="0.25">
      <c r="A99" s="60" t="s">
        <v>183</v>
      </c>
      <c r="B99" s="61" t="s">
        <v>78</v>
      </c>
      <c r="C99" s="62">
        <v>6800</v>
      </c>
      <c r="D99" s="63">
        <f>+C99/50</f>
        <v>136</v>
      </c>
      <c r="E99" s="64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5.75" customHeight="1" x14ac:dyDescent="0.25">
      <c r="A100" s="60" t="s">
        <v>184</v>
      </c>
      <c r="B100" s="61" t="s">
        <v>78</v>
      </c>
      <c r="C100" s="62"/>
      <c r="D100" s="63"/>
      <c r="E100" s="64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 x14ac:dyDescent="0.25">
      <c r="A101" s="60" t="s">
        <v>185</v>
      </c>
      <c r="B101" s="61" t="s">
        <v>78</v>
      </c>
      <c r="C101" s="62">
        <v>7900</v>
      </c>
      <c r="D101" s="63">
        <f>+C101/16</f>
        <v>493.75</v>
      </c>
      <c r="E101" s="64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 x14ac:dyDescent="0.25">
      <c r="A102" s="60" t="s">
        <v>186</v>
      </c>
      <c r="B102" s="61" t="s">
        <v>78</v>
      </c>
      <c r="C102" s="62">
        <v>99200</v>
      </c>
      <c r="D102" s="63">
        <f>+C102/10000</f>
        <v>9.92</v>
      </c>
      <c r="E102" s="64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 x14ac:dyDescent="0.25">
      <c r="A103" s="60" t="s">
        <v>187</v>
      </c>
      <c r="B103" s="61" t="s">
        <v>98</v>
      </c>
      <c r="C103" s="62">
        <v>2500</v>
      </c>
      <c r="D103" s="63">
        <f>+C103/1</f>
        <v>2500</v>
      </c>
      <c r="E103" s="64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 x14ac:dyDescent="0.25">
      <c r="A104" s="60" t="s">
        <v>188</v>
      </c>
      <c r="B104" s="61" t="s">
        <v>98</v>
      </c>
      <c r="C104" s="62">
        <v>7818</v>
      </c>
      <c r="D104" s="63">
        <f>+C104/100</f>
        <v>78.180000000000007</v>
      </c>
      <c r="E104" s="64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 x14ac:dyDescent="0.25">
      <c r="A105" s="60" t="s">
        <v>189</v>
      </c>
      <c r="B105" s="61" t="s">
        <v>78</v>
      </c>
      <c r="C105" s="62">
        <v>10700</v>
      </c>
      <c r="D105" s="63">
        <f>+C105/380</f>
        <v>28.157894736842106</v>
      </c>
      <c r="E105" s="64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 x14ac:dyDescent="0.25">
      <c r="A106" s="60" t="s">
        <v>190</v>
      </c>
      <c r="B106" s="61" t="s">
        <v>191</v>
      </c>
      <c r="C106" s="62"/>
      <c r="D106" s="63"/>
      <c r="E106" s="64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 x14ac:dyDescent="0.25">
      <c r="A107" s="60" t="s">
        <v>192</v>
      </c>
      <c r="B107" s="61" t="s">
        <v>78</v>
      </c>
      <c r="C107" s="62">
        <v>6400</v>
      </c>
      <c r="D107" s="63">
        <f>+C107/20</f>
        <v>320</v>
      </c>
      <c r="E107" s="64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 x14ac:dyDescent="0.25">
      <c r="A108" s="60" t="s">
        <v>193</v>
      </c>
      <c r="B108" s="61" t="s">
        <v>98</v>
      </c>
      <c r="C108" s="62">
        <v>3000</v>
      </c>
      <c r="D108" s="63">
        <f>+C108/1</f>
        <v>3000</v>
      </c>
      <c r="E108" s="64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 x14ac:dyDescent="0.25">
      <c r="A109" s="60" t="s">
        <v>194</v>
      </c>
      <c r="B109" s="61" t="s">
        <v>195</v>
      </c>
      <c r="C109" s="62">
        <v>6400</v>
      </c>
      <c r="D109" s="63">
        <f>+C109/1000</f>
        <v>6.4</v>
      </c>
      <c r="E109" s="64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 x14ac:dyDescent="0.25">
      <c r="A110" s="60" t="s">
        <v>196</v>
      </c>
      <c r="B110" s="61" t="s">
        <v>91</v>
      </c>
      <c r="C110" s="62">
        <v>5400</v>
      </c>
      <c r="D110" s="63">
        <f>+C110/180</f>
        <v>30</v>
      </c>
      <c r="E110" s="64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 x14ac:dyDescent="0.25">
      <c r="A111" s="60" t="s">
        <v>197</v>
      </c>
      <c r="B111" s="61" t="s">
        <v>98</v>
      </c>
      <c r="C111" s="62">
        <v>10820</v>
      </c>
      <c r="D111" s="63">
        <f>+C111/50</f>
        <v>216.4</v>
      </c>
      <c r="E111" s="64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5.75" customHeight="1" x14ac:dyDescent="0.25">
      <c r="A112" s="60" t="s">
        <v>198</v>
      </c>
      <c r="B112" s="61" t="s">
        <v>78</v>
      </c>
      <c r="C112" s="62">
        <v>7700</v>
      </c>
      <c r="D112" s="63">
        <f>+C112/500</f>
        <v>15.4</v>
      </c>
      <c r="E112" s="64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 x14ac:dyDescent="0.25">
      <c r="A113" s="60" t="s">
        <v>199</v>
      </c>
      <c r="B113" s="61" t="s">
        <v>78</v>
      </c>
      <c r="C113" s="62">
        <v>7530</v>
      </c>
      <c r="D113" s="63">
        <f>+C113/500</f>
        <v>15.06</v>
      </c>
      <c r="E113" s="64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 x14ac:dyDescent="0.25">
      <c r="A114" s="60" t="s">
        <v>200</v>
      </c>
      <c r="B114" s="61" t="s">
        <v>78</v>
      </c>
      <c r="C114" s="62">
        <v>29000</v>
      </c>
      <c r="D114" s="63">
        <f>+C114/400</f>
        <v>72.5</v>
      </c>
      <c r="E114" s="64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 x14ac:dyDescent="0.25">
      <c r="A115" s="60" t="s">
        <v>201</v>
      </c>
      <c r="B115" s="61" t="s">
        <v>91</v>
      </c>
      <c r="C115" s="62">
        <v>23000</v>
      </c>
      <c r="D115" s="63">
        <f>+C115/750</f>
        <v>30.666666666666668</v>
      </c>
      <c r="E115" s="64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5.75" customHeight="1" x14ac:dyDescent="0.25">
      <c r="A116" s="60" t="s">
        <v>157</v>
      </c>
      <c r="B116" s="61" t="s">
        <v>78</v>
      </c>
      <c r="C116" s="62">
        <v>5800</v>
      </c>
      <c r="D116" s="63">
        <f>+C116/125</f>
        <v>46.4</v>
      </c>
      <c r="E116" s="64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 x14ac:dyDescent="0.25">
      <c r="A117" s="60" t="s">
        <v>202</v>
      </c>
      <c r="B117" s="61" t="s">
        <v>91</v>
      </c>
      <c r="C117" s="62">
        <v>6700</v>
      </c>
      <c r="D117" s="63">
        <f>+C117/500</f>
        <v>13.4</v>
      </c>
      <c r="E117" s="64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 x14ac:dyDescent="0.25">
      <c r="A118" s="60" t="s">
        <v>203</v>
      </c>
      <c r="B118" s="61" t="s">
        <v>78</v>
      </c>
      <c r="C118" s="62">
        <v>7400</v>
      </c>
      <c r="D118" s="63">
        <f>+C118/500</f>
        <v>14.8</v>
      </c>
      <c r="E118" s="64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 x14ac:dyDescent="0.25">
      <c r="A119" s="60" t="s">
        <v>204</v>
      </c>
      <c r="B119" s="61" t="s">
        <v>88</v>
      </c>
      <c r="C119" s="62">
        <v>13000</v>
      </c>
      <c r="D119" s="63">
        <f>+C119/1000</f>
        <v>13</v>
      </c>
      <c r="E119" s="64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 x14ac:dyDescent="0.25">
      <c r="A120" s="60" t="s">
        <v>205</v>
      </c>
      <c r="B120" s="61" t="s">
        <v>81</v>
      </c>
      <c r="C120" s="62">
        <v>13000</v>
      </c>
      <c r="D120" s="63">
        <f>+C120/500</f>
        <v>26</v>
      </c>
      <c r="E120" s="64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5.75" customHeight="1" x14ac:dyDescent="0.25">
      <c r="A121" s="60" t="s">
        <v>206</v>
      </c>
      <c r="B121" s="61" t="s">
        <v>78</v>
      </c>
      <c r="C121" s="62">
        <v>3500</v>
      </c>
      <c r="D121" s="63">
        <f>+C121/200</f>
        <v>17.5</v>
      </c>
      <c r="E121" s="64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 x14ac:dyDescent="0.25">
      <c r="A122" s="60" t="s">
        <v>207</v>
      </c>
      <c r="B122" s="61" t="s">
        <v>78</v>
      </c>
      <c r="C122" s="62">
        <v>6300</v>
      </c>
      <c r="D122" s="63">
        <f>+C122/1000</f>
        <v>6.3</v>
      </c>
      <c r="E122" s="64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 x14ac:dyDescent="0.25">
      <c r="A123" s="60" t="s">
        <v>208</v>
      </c>
      <c r="B123" s="61" t="s">
        <v>78</v>
      </c>
      <c r="C123" s="62">
        <v>30500</v>
      </c>
      <c r="D123" s="63">
        <f>+C123/1000</f>
        <v>30.5</v>
      </c>
      <c r="E123" s="64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 x14ac:dyDescent="0.25">
      <c r="A124" s="60"/>
      <c r="B124" s="61"/>
      <c r="C124" s="62"/>
      <c r="D124" s="63"/>
      <c r="E124" s="64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 x14ac:dyDescent="0.25">
      <c r="A125" s="60"/>
      <c r="B125" s="61"/>
      <c r="C125" s="62"/>
      <c r="D125" s="64"/>
      <c r="E125" s="64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 x14ac:dyDescent="0.25">
      <c r="A126" s="61"/>
      <c r="B126" s="61"/>
      <c r="C126" s="62"/>
      <c r="D126" s="64"/>
      <c r="E126" s="64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 x14ac:dyDescent="0.25">
      <c r="A127" s="61"/>
      <c r="B127" s="61"/>
      <c r="C127" s="62"/>
      <c r="D127" s="64"/>
      <c r="E127" s="64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 x14ac:dyDescent="0.25">
      <c r="A128" s="61"/>
      <c r="B128" s="61"/>
      <c r="C128" s="62"/>
      <c r="D128" s="64"/>
      <c r="E128" s="64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 x14ac:dyDescent="0.25">
      <c r="A129" s="84"/>
      <c r="B129" s="84"/>
      <c r="C129" s="83"/>
      <c r="D129" s="85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 x14ac:dyDescent="0.25">
      <c r="A130" s="84"/>
      <c r="B130" s="84"/>
      <c r="C130" s="83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 x14ac:dyDescent="0.25">
      <c r="A131" s="84"/>
      <c r="B131" s="84"/>
      <c r="C131" s="83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 x14ac:dyDescent="0.25">
      <c r="A132" s="84"/>
      <c r="B132" s="84"/>
      <c r="C132" s="83"/>
      <c r="D132" s="8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 x14ac:dyDescent="0.25">
      <c r="A133" s="84"/>
      <c r="B133" s="84"/>
      <c r="C133" s="83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 x14ac:dyDescent="0.25">
      <c r="A134" s="84"/>
      <c r="B134" s="84"/>
      <c r="C134" s="83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 x14ac:dyDescent="0.25">
      <c r="A135" s="84"/>
      <c r="B135" s="84"/>
      <c r="C135" s="83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 x14ac:dyDescent="0.25">
      <c r="A136" s="84"/>
      <c r="B136" s="84"/>
      <c r="C136" s="83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 x14ac:dyDescent="0.25">
      <c r="A137" s="84"/>
      <c r="B137" s="84"/>
      <c r="C137" s="83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 x14ac:dyDescent="0.25">
      <c r="A138" s="84"/>
      <c r="B138" s="84"/>
      <c r="C138" s="83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 x14ac:dyDescent="0.25">
      <c r="A139" s="84"/>
      <c r="B139" s="84"/>
      <c r="C139" s="83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 x14ac:dyDescent="0.25">
      <c r="A140" s="84"/>
      <c r="B140" s="84"/>
      <c r="C140" s="83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 x14ac:dyDescent="0.25">
      <c r="A141" s="84"/>
      <c r="B141" s="84"/>
      <c r="C141" s="83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 x14ac:dyDescent="0.25">
      <c r="A142" s="84"/>
      <c r="B142" s="84"/>
      <c r="C142" s="83"/>
      <c r="D142" s="83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 x14ac:dyDescent="0.25">
      <c r="A143" s="84"/>
      <c r="B143" s="84"/>
      <c r="C143" s="83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 x14ac:dyDescent="0.25">
      <c r="A144" s="84"/>
      <c r="B144" s="84"/>
      <c r="C144" s="83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 x14ac:dyDescent="0.25">
      <c r="A145" s="84"/>
      <c r="B145" s="84"/>
      <c r="C145" s="83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 x14ac:dyDescent="0.25">
      <c r="A146" s="84"/>
      <c r="B146" s="84"/>
      <c r="C146" s="83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 x14ac:dyDescent="0.25">
      <c r="A147" s="84"/>
      <c r="B147" s="84"/>
      <c r="C147" s="83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 x14ac:dyDescent="0.25">
      <c r="A148" s="84"/>
      <c r="B148" s="84"/>
      <c r="C148" s="83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 x14ac:dyDescent="0.25">
      <c r="A149" s="84"/>
      <c r="B149" s="84"/>
      <c r="C149" s="83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 x14ac:dyDescent="0.25">
      <c r="A150" s="84"/>
      <c r="B150" s="84"/>
      <c r="C150" s="83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 x14ac:dyDescent="0.25">
      <c r="A151" s="84"/>
      <c r="B151" s="84"/>
      <c r="C151" s="83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 x14ac:dyDescent="0.25">
      <c r="A152" s="84"/>
      <c r="B152" s="84"/>
      <c r="C152" s="83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 x14ac:dyDescent="0.25">
      <c r="A153" s="84"/>
      <c r="B153" s="84"/>
      <c r="C153" s="83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 x14ac:dyDescent="0.25">
      <c r="A154" s="84"/>
      <c r="B154" s="84"/>
      <c r="C154" s="83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 x14ac:dyDescent="0.25">
      <c r="A155" s="84"/>
      <c r="B155" s="84"/>
      <c r="C155" s="83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 x14ac:dyDescent="0.25">
      <c r="A156" s="84"/>
      <c r="B156" s="84"/>
      <c r="C156" s="83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 x14ac:dyDescent="0.25">
      <c r="A157" s="84"/>
      <c r="B157" s="84"/>
      <c r="C157" s="83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 x14ac:dyDescent="0.25">
      <c r="A158" s="84"/>
      <c r="B158" s="84"/>
      <c r="C158" s="83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 x14ac:dyDescent="0.25">
      <c r="A159" s="84"/>
      <c r="B159" s="84"/>
      <c r="C159" s="83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 x14ac:dyDescent="0.25">
      <c r="A160" s="84"/>
      <c r="B160" s="84"/>
      <c r="C160" s="83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 x14ac:dyDescent="0.25">
      <c r="A161" s="84"/>
      <c r="B161" s="84"/>
      <c r="C161" s="83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 x14ac:dyDescent="0.25">
      <c r="A162" s="84"/>
      <c r="B162" s="84"/>
      <c r="C162" s="83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 x14ac:dyDescent="0.25">
      <c r="A163" s="84"/>
      <c r="B163" s="84"/>
      <c r="C163" s="83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 x14ac:dyDescent="0.25">
      <c r="A164" s="84"/>
      <c r="B164" s="84"/>
      <c r="C164" s="83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 x14ac:dyDescent="0.25">
      <c r="A165" s="84"/>
      <c r="B165" s="84"/>
      <c r="C165" s="83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 x14ac:dyDescent="0.25">
      <c r="A166" s="84"/>
      <c r="B166" s="84"/>
      <c r="C166" s="83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 x14ac:dyDescent="0.25">
      <c r="A167" s="84"/>
      <c r="B167" s="84"/>
      <c r="C167" s="83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 x14ac:dyDescent="0.25">
      <c r="A168" s="84"/>
      <c r="B168" s="84"/>
      <c r="C168" s="83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 x14ac:dyDescent="0.25">
      <c r="A169" s="84"/>
      <c r="B169" s="84"/>
      <c r="C169" s="83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 x14ac:dyDescent="0.25">
      <c r="A170" s="84"/>
      <c r="B170" s="84"/>
      <c r="C170" s="83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 x14ac:dyDescent="0.25">
      <c r="A171" s="84"/>
      <c r="B171" s="84"/>
      <c r="C171" s="83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 x14ac:dyDescent="0.25">
      <c r="A172" s="84"/>
      <c r="B172" s="84"/>
      <c r="C172" s="83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 x14ac:dyDescent="0.25">
      <c r="A173" s="84"/>
      <c r="B173" s="84"/>
      <c r="C173" s="83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 x14ac:dyDescent="0.25">
      <c r="A174" s="84"/>
      <c r="B174" s="84"/>
      <c r="C174" s="83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 x14ac:dyDescent="0.25">
      <c r="A175" s="84"/>
      <c r="B175" s="84"/>
      <c r="C175" s="83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 x14ac:dyDescent="0.25">
      <c r="A176" s="84"/>
      <c r="B176" s="84"/>
      <c r="C176" s="83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 x14ac:dyDescent="0.25">
      <c r="A177" s="84"/>
      <c r="B177" s="84"/>
      <c r="C177" s="83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 x14ac:dyDescent="0.25">
      <c r="A178" s="84"/>
      <c r="B178" s="84"/>
      <c r="C178" s="83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 x14ac:dyDescent="0.25">
      <c r="A179" s="84"/>
      <c r="B179" s="84"/>
      <c r="C179" s="83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 x14ac:dyDescent="0.25">
      <c r="A180" s="84"/>
      <c r="B180" s="84"/>
      <c r="C180" s="83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 x14ac:dyDescent="0.25">
      <c r="A181" s="84"/>
      <c r="B181" s="84"/>
      <c r="C181" s="83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 x14ac:dyDescent="0.25">
      <c r="A182" s="84"/>
      <c r="B182" s="84"/>
      <c r="C182" s="83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 x14ac:dyDescent="0.25">
      <c r="A183" s="84"/>
      <c r="B183" s="84"/>
      <c r="C183" s="83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 x14ac:dyDescent="0.25">
      <c r="A184" s="84"/>
      <c r="B184" s="84"/>
      <c r="C184" s="83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 x14ac:dyDescent="0.25">
      <c r="A185" s="84"/>
      <c r="B185" s="84"/>
      <c r="C185" s="83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 x14ac:dyDescent="0.25">
      <c r="A186" s="84"/>
      <c r="B186" s="84"/>
      <c r="C186" s="83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 x14ac:dyDescent="0.25">
      <c r="A187" s="84"/>
      <c r="B187" s="84"/>
      <c r="C187" s="83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 x14ac:dyDescent="0.25">
      <c r="A188" s="84"/>
      <c r="B188" s="84"/>
      <c r="C188" s="83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 x14ac:dyDescent="0.25">
      <c r="A189" s="84"/>
      <c r="B189" s="84"/>
      <c r="C189" s="83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 x14ac:dyDescent="0.25">
      <c r="A190" s="84"/>
      <c r="B190" s="84"/>
      <c r="C190" s="83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 x14ac:dyDescent="0.25">
      <c r="A191" s="84"/>
      <c r="B191" s="84"/>
      <c r="C191" s="83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 x14ac:dyDescent="0.25">
      <c r="A192" s="84"/>
      <c r="B192" s="84"/>
      <c r="C192" s="83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 x14ac:dyDescent="0.25">
      <c r="A193" s="84"/>
      <c r="B193" s="84"/>
      <c r="C193" s="83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 x14ac:dyDescent="0.25">
      <c r="A194" s="84"/>
      <c r="B194" s="84"/>
      <c r="C194" s="83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 x14ac:dyDescent="0.25">
      <c r="A195" s="84"/>
      <c r="B195" s="84"/>
      <c r="C195" s="83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 x14ac:dyDescent="0.25">
      <c r="A196" s="84"/>
      <c r="B196" s="84"/>
      <c r="C196" s="83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 x14ac:dyDescent="0.25">
      <c r="A197" s="84"/>
      <c r="B197" s="84"/>
      <c r="C197" s="83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 x14ac:dyDescent="0.25">
      <c r="A198" s="84"/>
      <c r="B198" s="84"/>
      <c r="C198" s="83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 x14ac:dyDescent="0.25">
      <c r="A199" s="84"/>
      <c r="B199" s="84"/>
      <c r="C199" s="83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 x14ac:dyDescent="0.25">
      <c r="A200" s="84"/>
      <c r="B200" s="84"/>
      <c r="C200" s="83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 x14ac:dyDescent="0.25">
      <c r="A201" s="84"/>
      <c r="B201" s="84"/>
      <c r="C201" s="83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 x14ac:dyDescent="0.25">
      <c r="A202" s="84"/>
      <c r="B202" s="84"/>
      <c r="C202" s="83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 x14ac:dyDescent="0.25">
      <c r="A203" s="84"/>
      <c r="B203" s="84"/>
      <c r="C203" s="83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 x14ac:dyDescent="0.25">
      <c r="A204" s="84"/>
      <c r="B204" s="84"/>
      <c r="C204" s="83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 x14ac:dyDescent="0.25">
      <c r="A205" s="84"/>
      <c r="B205" s="84"/>
      <c r="C205" s="83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 x14ac:dyDescent="0.25">
      <c r="A206" s="84"/>
      <c r="B206" s="84"/>
      <c r="C206" s="83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 x14ac:dyDescent="0.25">
      <c r="A207" s="84"/>
      <c r="B207" s="84"/>
      <c r="C207" s="83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 x14ac:dyDescent="0.25">
      <c r="A208" s="84"/>
      <c r="B208" s="84"/>
      <c r="C208" s="83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 x14ac:dyDescent="0.25">
      <c r="A209" s="84"/>
      <c r="B209" s="84"/>
      <c r="C209" s="83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 x14ac:dyDescent="0.25">
      <c r="A210" s="84"/>
      <c r="B210" s="84"/>
      <c r="C210" s="83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 x14ac:dyDescent="0.25">
      <c r="A211" s="84"/>
      <c r="B211" s="84"/>
      <c r="C211" s="83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 x14ac:dyDescent="0.25">
      <c r="A212" s="84"/>
      <c r="B212" s="84"/>
      <c r="C212" s="83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 x14ac:dyDescent="0.25">
      <c r="A213" s="84"/>
      <c r="B213" s="84"/>
      <c r="C213" s="83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 x14ac:dyDescent="0.25">
      <c r="A214" s="84"/>
      <c r="B214" s="84"/>
      <c r="C214" s="83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 x14ac:dyDescent="0.25">
      <c r="A215" s="84"/>
      <c r="B215" s="84"/>
      <c r="C215" s="83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 x14ac:dyDescent="0.25">
      <c r="A216" s="84"/>
      <c r="B216" s="84"/>
      <c r="C216" s="83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 x14ac:dyDescent="0.25">
      <c r="A217" s="84"/>
      <c r="B217" s="84"/>
      <c r="C217" s="83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 x14ac:dyDescent="0.25">
      <c r="A218" s="84"/>
      <c r="B218" s="84"/>
      <c r="C218" s="83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 x14ac:dyDescent="0.25">
      <c r="A219" s="84"/>
      <c r="B219" s="84"/>
      <c r="C219" s="83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 x14ac:dyDescent="0.25">
      <c r="A220" s="84"/>
      <c r="B220" s="84"/>
      <c r="C220" s="83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 x14ac:dyDescent="0.25">
      <c r="A221" s="84"/>
      <c r="B221" s="84"/>
      <c r="C221" s="83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 x14ac:dyDescent="0.25">
      <c r="A222" s="84"/>
      <c r="B222" s="84"/>
      <c r="C222" s="83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 x14ac:dyDescent="0.25">
      <c r="A223" s="84"/>
      <c r="B223" s="84"/>
      <c r="C223" s="83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 x14ac:dyDescent="0.25">
      <c r="A224" s="84"/>
      <c r="B224" s="84"/>
      <c r="C224" s="83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 x14ac:dyDescent="0.25">
      <c r="A225" s="84"/>
      <c r="B225" s="84"/>
      <c r="C225" s="83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 x14ac:dyDescent="0.25">
      <c r="A226" s="84"/>
      <c r="B226" s="84"/>
      <c r="C226" s="83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 x14ac:dyDescent="0.25">
      <c r="A227" s="84"/>
      <c r="B227" s="84"/>
      <c r="C227" s="83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 x14ac:dyDescent="0.25">
      <c r="A228" s="84"/>
      <c r="B228" s="84"/>
      <c r="C228" s="83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 x14ac:dyDescent="0.25">
      <c r="A229" s="84"/>
      <c r="B229" s="84"/>
      <c r="C229" s="83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 x14ac:dyDescent="0.25">
      <c r="A230" s="84"/>
      <c r="B230" s="84"/>
      <c r="C230" s="83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 x14ac:dyDescent="0.25">
      <c r="A231" s="84"/>
      <c r="B231" s="84"/>
      <c r="C231" s="83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 x14ac:dyDescent="0.25">
      <c r="A232" s="84"/>
      <c r="B232" s="84"/>
      <c r="C232" s="83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 x14ac:dyDescent="0.25">
      <c r="A233" s="84"/>
      <c r="B233" s="84"/>
      <c r="C233" s="83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 x14ac:dyDescent="0.25">
      <c r="A234" s="84"/>
      <c r="B234" s="84"/>
      <c r="C234" s="83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 x14ac:dyDescent="0.25">
      <c r="A235" s="84"/>
      <c r="B235" s="84"/>
      <c r="C235" s="83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 x14ac:dyDescent="0.25">
      <c r="A236" s="84"/>
      <c r="B236" s="84"/>
      <c r="C236" s="83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 x14ac:dyDescent="0.25">
      <c r="A237" s="84"/>
      <c r="B237" s="84"/>
      <c r="C237" s="83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 x14ac:dyDescent="0.25">
      <c r="A238" s="84"/>
      <c r="B238" s="84"/>
      <c r="C238" s="83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 x14ac:dyDescent="0.25">
      <c r="A239" s="84"/>
      <c r="B239" s="84"/>
      <c r="C239" s="83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 x14ac:dyDescent="0.25">
      <c r="A240" s="84"/>
      <c r="B240" s="84"/>
      <c r="C240" s="83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 x14ac:dyDescent="0.25">
      <c r="A241" s="84"/>
      <c r="B241" s="84"/>
      <c r="C241" s="83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 x14ac:dyDescent="0.25">
      <c r="A242" s="84"/>
      <c r="B242" s="84"/>
      <c r="C242" s="83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 x14ac:dyDescent="0.25">
      <c r="A243" s="84"/>
      <c r="B243" s="84"/>
      <c r="C243" s="83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 x14ac:dyDescent="0.25">
      <c r="A244" s="84"/>
      <c r="B244" s="84"/>
      <c r="C244" s="83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 x14ac:dyDescent="0.25">
      <c r="A245" s="84"/>
      <c r="B245" s="84"/>
      <c r="C245" s="83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 x14ac:dyDescent="0.25">
      <c r="A246" s="84"/>
      <c r="B246" s="84"/>
      <c r="C246" s="83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 x14ac:dyDescent="0.25">
      <c r="A247" s="84"/>
      <c r="B247" s="84"/>
      <c r="C247" s="83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 x14ac:dyDescent="0.25">
      <c r="A248" s="84"/>
      <c r="B248" s="84"/>
      <c r="C248" s="83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 x14ac:dyDescent="0.25">
      <c r="A249" s="84"/>
      <c r="B249" s="84"/>
      <c r="C249" s="83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 x14ac:dyDescent="0.25">
      <c r="A250" s="84"/>
      <c r="B250" s="84"/>
      <c r="C250" s="83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 x14ac:dyDescent="0.25">
      <c r="A251" s="84"/>
      <c r="B251" s="84"/>
      <c r="C251" s="83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 x14ac:dyDescent="0.25">
      <c r="A252" s="84"/>
      <c r="B252" s="84"/>
      <c r="C252" s="83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 x14ac:dyDescent="0.25">
      <c r="A253" s="84"/>
      <c r="B253" s="84"/>
      <c r="C253" s="83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 x14ac:dyDescent="0.25">
      <c r="A254" s="84"/>
      <c r="B254" s="84"/>
      <c r="C254" s="83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 x14ac:dyDescent="0.25">
      <c r="A255" s="84"/>
      <c r="B255" s="84"/>
      <c r="C255" s="83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 x14ac:dyDescent="0.25">
      <c r="A256" s="84"/>
      <c r="B256" s="84"/>
      <c r="C256" s="83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 x14ac:dyDescent="0.25">
      <c r="A257" s="84"/>
      <c r="B257" s="84"/>
      <c r="C257" s="83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 x14ac:dyDescent="0.25">
      <c r="A258" s="84"/>
      <c r="B258" s="84"/>
      <c r="C258" s="83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 x14ac:dyDescent="0.25">
      <c r="A259" s="84"/>
      <c r="B259" s="84"/>
      <c r="C259" s="83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 x14ac:dyDescent="0.25">
      <c r="A260" s="84"/>
      <c r="B260" s="84"/>
      <c r="C260" s="83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 x14ac:dyDescent="0.25">
      <c r="A261" s="84"/>
      <c r="B261" s="84"/>
      <c r="C261" s="83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 x14ac:dyDescent="0.25">
      <c r="A262" s="84"/>
      <c r="B262" s="84"/>
      <c r="C262" s="83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 x14ac:dyDescent="0.25">
      <c r="A263" s="84"/>
      <c r="B263" s="84"/>
      <c r="C263" s="83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 x14ac:dyDescent="0.25">
      <c r="A264" s="84"/>
      <c r="B264" s="84"/>
      <c r="C264" s="83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 x14ac:dyDescent="0.25">
      <c r="A265" s="84"/>
      <c r="B265" s="84"/>
      <c r="C265" s="83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 x14ac:dyDescent="0.25">
      <c r="A266" s="84"/>
      <c r="B266" s="84"/>
      <c r="C266" s="83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 x14ac:dyDescent="0.25">
      <c r="A267" s="84"/>
      <c r="B267" s="84"/>
      <c r="C267" s="83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 x14ac:dyDescent="0.25">
      <c r="A268" s="84"/>
      <c r="B268" s="84"/>
      <c r="C268" s="83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 x14ac:dyDescent="0.25">
      <c r="A269" s="84"/>
      <c r="B269" s="84"/>
      <c r="C269" s="83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 x14ac:dyDescent="0.25">
      <c r="A270" s="84"/>
      <c r="B270" s="84"/>
      <c r="C270" s="83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 x14ac:dyDescent="0.25">
      <c r="A271" s="84"/>
      <c r="B271" s="84"/>
      <c r="C271" s="83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 x14ac:dyDescent="0.25">
      <c r="A272" s="84"/>
      <c r="B272" s="84"/>
      <c r="C272" s="83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 x14ac:dyDescent="0.25">
      <c r="A273" s="84"/>
      <c r="B273" s="84"/>
      <c r="C273" s="83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 x14ac:dyDescent="0.25">
      <c r="A274" s="84"/>
      <c r="B274" s="84"/>
      <c r="C274" s="83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 x14ac:dyDescent="0.25">
      <c r="A275" s="84"/>
      <c r="B275" s="84"/>
      <c r="C275" s="83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 x14ac:dyDescent="0.25">
      <c r="A276" s="84"/>
      <c r="B276" s="84"/>
      <c r="C276" s="83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 x14ac:dyDescent="0.25">
      <c r="A277" s="84"/>
      <c r="B277" s="84"/>
      <c r="C277" s="83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 x14ac:dyDescent="0.25">
      <c r="A278" s="84"/>
      <c r="B278" s="84"/>
      <c r="C278" s="83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 x14ac:dyDescent="0.25">
      <c r="A279" s="84"/>
      <c r="B279" s="84"/>
      <c r="C279" s="83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 x14ac:dyDescent="0.25">
      <c r="A280" s="84"/>
      <c r="B280" s="84"/>
      <c r="C280" s="83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 x14ac:dyDescent="0.25">
      <c r="A281" s="84"/>
      <c r="B281" s="84"/>
      <c r="C281" s="83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 x14ac:dyDescent="0.25">
      <c r="A282" s="84"/>
      <c r="B282" s="84"/>
      <c r="C282" s="83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 x14ac:dyDescent="0.25">
      <c r="A283" s="84"/>
      <c r="B283" s="84"/>
      <c r="C283" s="83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 x14ac:dyDescent="0.25">
      <c r="A284" s="84"/>
      <c r="B284" s="84"/>
      <c r="C284" s="83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 x14ac:dyDescent="0.25">
      <c r="A285" s="84"/>
      <c r="B285" s="84"/>
      <c r="C285" s="83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 x14ac:dyDescent="0.25">
      <c r="A286" s="84"/>
      <c r="B286" s="84"/>
      <c r="C286" s="83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 x14ac:dyDescent="0.25">
      <c r="A287" s="84"/>
      <c r="B287" s="84"/>
      <c r="C287" s="83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 x14ac:dyDescent="0.25">
      <c r="A288" s="84"/>
      <c r="B288" s="84"/>
      <c r="C288" s="83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 x14ac:dyDescent="0.25">
      <c r="A289" s="84"/>
      <c r="B289" s="84"/>
      <c r="C289" s="83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 x14ac:dyDescent="0.25">
      <c r="A290" s="84"/>
      <c r="B290" s="84"/>
      <c r="C290" s="83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 x14ac:dyDescent="0.25">
      <c r="A291" s="84"/>
      <c r="B291" s="84"/>
      <c r="C291" s="83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 x14ac:dyDescent="0.25">
      <c r="A292" s="84"/>
      <c r="B292" s="84"/>
      <c r="C292" s="83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 x14ac:dyDescent="0.25">
      <c r="A293" s="84"/>
      <c r="B293" s="84"/>
      <c r="C293" s="83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 x14ac:dyDescent="0.25">
      <c r="A294" s="84"/>
      <c r="B294" s="84"/>
      <c r="C294" s="83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 x14ac:dyDescent="0.25">
      <c r="A295" s="84"/>
      <c r="B295" s="84"/>
      <c r="C295" s="83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 x14ac:dyDescent="0.25">
      <c r="A296" s="84"/>
      <c r="B296" s="84"/>
      <c r="C296" s="83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 x14ac:dyDescent="0.25">
      <c r="A297" s="84"/>
      <c r="B297" s="84"/>
      <c r="C297" s="83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 x14ac:dyDescent="0.25">
      <c r="A298" s="84"/>
      <c r="B298" s="84"/>
      <c r="C298" s="83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 x14ac:dyDescent="0.25">
      <c r="A299" s="84"/>
      <c r="B299" s="84"/>
      <c r="C299" s="83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 x14ac:dyDescent="0.25">
      <c r="A300" s="84"/>
      <c r="B300" s="84"/>
      <c r="C300" s="83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 x14ac:dyDescent="0.25">
      <c r="A301" s="84"/>
      <c r="B301" s="84"/>
      <c r="C301" s="83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 x14ac:dyDescent="0.25">
      <c r="A302" s="84"/>
      <c r="B302" s="84"/>
      <c r="C302" s="83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 x14ac:dyDescent="0.25">
      <c r="A303" s="84"/>
      <c r="B303" s="84"/>
      <c r="C303" s="83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 x14ac:dyDescent="0.25">
      <c r="A304" s="84"/>
      <c r="B304" s="84"/>
      <c r="C304" s="83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 x14ac:dyDescent="0.25">
      <c r="A305" s="84"/>
      <c r="B305" s="84"/>
      <c r="C305" s="83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 x14ac:dyDescent="0.25">
      <c r="A306" s="84"/>
      <c r="B306" s="84"/>
      <c r="C306" s="83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 x14ac:dyDescent="0.25">
      <c r="A307" s="84"/>
      <c r="B307" s="84"/>
      <c r="C307" s="83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 x14ac:dyDescent="0.25">
      <c r="A308" s="84"/>
      <c r="B308" s="84"/>
      <c r="C308" s="83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 x14ac:dyDescent="0.25">
      <c r="A309" s="84"/>
      <c r="B309" s="84"/>
      <c r="C309" s="83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 x14ac:dyDescent="0.25">
      <c r="A310" s="84"/>
      <c r="B310" s="84"/>
      <c r="C310" s="83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 x14ac:dyDescent="0.25">
      <c r="A311" s="84"/>
      <c r="B311" s="84"/>
      <c r="C311" s="83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 x14ac:dyDescent="0.25">
      <c r="A312" s="84"/>
      <c r="B312" s="84"/>
      <c r="C312" s="83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 x14ac:dyDescent="0.25">
      <c r="A313" s="84"/>
      <c r="B313" s="84"/>
      <c r="C313" s="83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 x14ac:dyDescent="0.25">
      <c r="A314" s="84"/>
      <c r="B314" s="84"/>
      <c r="C314" s="83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 x14ac:dyDescent="0.25">
      <c r="A315" s="84"/>
      <c r="B315" s="84"/>
      <c r="C315" s="83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 x14ac:dyDescent="0.25">
      <c r="A316" s="84"/>
      <c r="B316" s="84"/>
      <c r="C316" s="83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 x14ac:dyDescent="0.25">
      <c r="A317" s="84"/>
      <c r="B317" s="84"/>
      <c r="C317" s="83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 x14ac:dyDescent="0.25">
      <c r="A318" s="84"/>
      <c r="B318" s="84"/>
      <c r="C318" s="83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 x14ac:dyDescent="0.25">
      <c r="A319" s="84"/>
      <c r="B319" s="84"/>
      <c r="C319" s="83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 x14ac:dyDescent="0.25">
      <c r="A320" s="84"/>
      <c r="B320" s="84"/>
      <c r="C320" s="83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 x14ac:dyDescent="0.25">
      <c r="A321" s="84"/>
      <c r="B321" s="84"/>
      <c r="C321" s="83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 x14ac:dyDescent="0.25">
      <c r="A322" s="84"/>
      <c r="B322" s="84"/>
      <c r="C322" s="83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 x14ac:dyDescent="0.25">
      <c r="A323" s="84"/>
      <c r="B323" s="84"/>
      <c r="C323" s="83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 x14ac:dyDescent="0.25">
      <c r="A324" s="84"/>
      <c r="B324" s="84"/>
      <c r="C324" s="83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 x14ac:dyDescent="0.25">
      <c r="A325" s="84"/>
      <c r="B325" s="84"/>
      <c r="C325" s="83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 x14ac:dyDescent="0.25">
      <c r="A326" s="84"/>
      <c r="B326" s="84"/>
      <c r="C326" s="83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 x14ac:dyDescent="0.25">
      <c r="A327" s="84"/>
      <c r="B327" s="84"/>
      <c r="C327" s="83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 x14ac:dyDescent="0.25">
      <c r="A328" s="84"/>
      <c r="B328" s="84"/>
      <c r="C328" s="83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 x14ac:dyDescent="0.25">
      <c r="A329" s="84"/>
      <c r="B329" s="84"/>
      <c r="C329" s="83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 x14ac:dyDescent="0.25">
      <c r="A330" s="84"/>
      <c r="B330" s="84"/>
      <c r="C330" s="83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 x14ac:dyDescent="0.25">
      <c r="A331" s="84"/>
      <c r="B331" s="84"/>
      <c r="C331" s="83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 x14ac:dyDescent="0.25">
      <c r="A332" s="84"/>
      <c r="B332" s="84"/>
      <c r="C332" s="83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 x14ac:dyDescent="0.25">
      <c r="A333" s="84"/>
      <c r="B333" s="84"/>
      <c r="C333" s="83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 x14ac:dyDescent="0.25">
      <c r="A334" s="84"/>
      <c r="B334" s="84"/>
      <c r="C334" s="83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 x14ac:dyDescent="0.25">
      <c r="A335" s="84"/>
      <c r="B335" s="84"/>
      <c r="C335" s="83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 x14ac:dyDescent="0.25">
      <c r="A336" s="84"/>
      <c r="B336" s="84"/>
      <c r="C336" s="83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 x14ac:dyDescent="0.25">
      <c r="A337" s="84"/>
      <c r="B337" s="84"/>
      <c r="C337" s="83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 x14ac:dyDescent="0.25">
      <c r="A338" s="84"/>
      <c r="B338" s="84"/>
      <c r="C338" s="83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 x14ac:dyDescent="0.25">
      <c r="A339" s="84"/>
      <c r="B339" s="84"/>
      <c r="C339" s="83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 x14ac:dyDescent="0.25">
      <c r="A340" s="84"/>
      <c r="B340" s="84"/>
      <c r="C340" s="83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 x14ac:dyDescent="0.25">
      <c r="A341" s="84"/>
      <c r="B341" s="84"/>
      <c r="C341" s="83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 x14ac:dyDescent="0.25">
      <c r="A342" s="84"/>
      <c r="B342" s="84"/>
      <c r="C342" s="83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 x14ac:dyDescent="0.25">
      <c r="A343" s="84"/>
      <c r="B343" s="84"/>
      <c r="C343" s="83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 x14ac:dyDescent="0.25">
      <c r="A344" s="84"/>
      <c r="B344" s="84"/>
      <c r="C344" s="83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 x14ac:dyDescent="0.25">
      <c r="A345" s="84"/>
      <c r="B345" s="84"/>
      <c r="C345" s="83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 x14ac:dyDescent="0.25">
      <c r="A346" s="84"/>
      <c r="B346" s="84"/>
      <c r="C346" s="83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 x14ac:dyDescent="0.25">
      <c r="A347" s="84"/>
      <c r="B347" s="84"/>
      <c r="C347" s="83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 x14ac:dyDescent="0.25">
      <c r="A348" s="84"/>
      <c r="B348" s="84"/>
      <c r="C348" s="83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 x14ac:dyDescent="0.25">
      <c r="A349" s="84"/>
      <c r="B349" s="84"/>
      <c r="C349" s="83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 x14ac:dyDescent="0.25">
      <c r="A350" s="84"/>
      <c r="B350" s="84"/>
      <c r="C350" s="83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 x14ac:dyDescent="0.25">
      <c r="A351" s="84"/>
      <c r="B351" s="84"/>
      <c r="C351" s="83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 x14ac:dyDescent="0.25">
      <c r="A352" s="84"/>
      <c r="B352" s="84"/>
      <c r="C352" s="83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 x14ac:dyDescent="0.25">
      <c r="A353" s="84"/>
      <c r="B353" s="84"/>
      <c r="C353" s="83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 x14ac:dyDescent="0.25">
      <c r="A354" s="84"/>
      <c r="B354" s="84"/>
      <c r="C354" s="83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 x14ac:dyDescent="0.25">
      <c r="A355" s="84"/>
      <c r="B355" s="84"/>
      <c r="C355" s="83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 x14ac:dyDescent="0.25">
      <c r="A356" s="84"/>
      <c r="B356" s="84"/>
      <c r="C356" s="83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 x14ac:dyDescent="0.25">
      <c r="A357" s="84"/>
      <c r="B357" s="84"/>
      <c r="C357" s="83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 x14ac:dyDescent="0.25">
      <c r="A358" s="84"/>
      <c r="B358" s="84"/>
      <c r="C358" s="83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 x14ac:dyDescent="0.25">
      <c r="A359" s="84"/>
      <c r="B359" s="84"/>
      <c r="C359" s="83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 x14ac:dyDescent="0.25">
      <c r="A360" s="84"/>
      <c r="B360" s="84"/>
      <c r="C360" s="83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 x14ac:dyDescent="0.25">
      <c r="A361" s="84"/>
      <c r="B361" s="84"/>
      <c r="C361" s="83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 x14ac:dyDescent="0.25">
      <c r="A362" s="84"/>
      <c r="B362" s="84"/>
      <c r="C362" s="83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 x14ac:dyDescent="0.25">
      <c r="A363" s="84"/>
      <c r="B363" s="84"/>
      <c r="C363" s="83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 x14ac:dyDescent="0.25">
      <c r="A364" s="84"/>
      <c r="B364" s="84"/>
      <c r="C364" s="83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 x14ac:dyDescent="0.25">
      <c r="A365" s="84"/>
      <c r="B365" s="84"/>
      <c r="C365" s="83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 x14ac:dyDescent="0.25">
      <c r="A366" s="84"/>
      <c r="B366" s="84"/>
      <c r="C366" s="83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 x14ac:dyDescent="0.25">
      <c r="A367" s="84"/>
      <c r="B367" s="84"/>
      <c r="C367" s="83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 x14ac:dyDescent="0.25">
      <c r="A368" s="84"/>
      <c r="B368" s="84"/>
      <c r="C368" s="83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 x14ac:dyDescent="0.25">
      <c r="A369" s="84"/>
      <c r="B369" s="84"/>
      <c r="C369" s="83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 x14ac:dyDescent="0.25">
      <c r="A370" s="84"/>
      <c r="B370" s="84"/>
      <c r="C370" s="83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 x14ac:dyDescent="0.25">
      <c r="A371" s="84"/>
      <c r="B371" s="84"/>
      <c r="C371" s="83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 x14ac:dyDescent="0.25">
      <c r="A372" s="84"/>
      <c r="B372" s="84"/>
      <c r="C372" s="83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 x14ac:dyDescent="0.25">
      <c r="A373" s="84"/>
      <c r="B373" s="84"/>
      <c r="C373" s="83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 x14ac:dyDescent="0.25">
      <c r="A374" s="84"/>
      <c r="B374" s="84"/>
      <c r="C374" s="83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 x14ac:dyDescent="0.25">
      <c r="A375" s="84"/>
      <c r="B375" s="84"/>
      <c r="C375" s="83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 x14ac:dyDescent="0.25">
      <c r="A376" s="84"/>
      <c r="B376" s="84"/>
      <c r="C376" s="83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 x14ac:dyDescent="0.25">
      <c r="A377" s="84"/>
      <c r="B377" s="84"/>
      <c r="C377" s="83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 x14ac:dyDescent="0.25">
      <c r="A378" s="84"/>
      <c r="B378" s="84"/>
      <c r="C378" s="83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 x14ac:dyDescent="0.25">
      <c r="A379" s="84"/>
      <c r="B379" s="84"/>
      <c r="C379" s="83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 x14ac:dyDescent="0.25">
      <c r="A380" s="84"/>
      <c r="B380" s="84"/>
      <c r="C380" s="83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 x14ac:dyDescent="0.25">
      <c r="A381" s="84"/>
      <c r="B381" s="84"/>
      <c r="C381" s="83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 x14ac:dyDescent="0.25">
      <c r="A382" s="84"/>
      <c r="B382" s="84"/>
      <c r="C382" s="83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 x14ac:dyDescent="0.25">
      <c r="A383" s="84"/>
      <c r="B383" s="84"/>
      <c r="C383" s="83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 x14ac:dyDescent="0.25">
      <c r="A384" s="84"/>
      <c r="B384" s="84"/>
      <c r="C384" s="83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 x14ac:dyDescent="0.25">
      <c r="A385" s="84"/>
      <c r="B385" s="84"/>
      <c r="C385" s="83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 x14ac:dyDescent="0.25">
      <c r="A386" s="84"/>
      <c r="B386" s="84"/>
      <c r="C386" s="83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 x14ac:dyDescent="0.25">
      <c r="A387" s="84"/>
      <c r="B387" s="84"/>
      <c r="C387" s="83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 x14ac:dyDescent="0.25">
      <c r="A388" s="84"/>
      <c r="B388" s="84"/>
      <c r="C388" s="83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 x14ac:dyDescent="0.25">
      <c r="A389" s="84"/>
      <c r="B389" s="84"/>
      <c r="C389" s="83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 x14ac:dyDescent="0.25">
      <c r="A390" s="84"/>
      <c r="B390" s="84"/>
      <c r="C390" s="83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 x14ac:dyDescent="0.25">
      <c r="A391" s="84"/>
      <c r="B391" s="84"/>
      <c r="C391" s="83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 x14ac:dyDescent="0.25">
      <c r="A392" s="84"/>
      <c r="B392" s="84"/>
      <c r="C392" s="83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 x14ac:dyDescent="0.25">
      <c r="A393" s="84"/>
      <c r="B393" s="84"/>
      <c r="C393" s="83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 x14ac:dyDescent="0.25">
      <c r="A394" s="84"/>
      <c r="B394" s="84"/>
      <c r="C394" s="83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 x14ac:dyDescent="0.25">
      <c r="A395" s="84"/>
      <c r="B395" s="84"/>
      <c r="C395" s="83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 x14ac:dyDescent="0.25">
      <c r="A396" s="84"/>
      <c r="B396" s="84"/>
      <c r="C396" s="83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 x14ac:dyDescent="0.25">
      <c r="A397" s="84"/>
      <c r="B397" s="84"/>
      <c r="C397" s="83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 x14ac:dyDescent="0.25">
      <c r="A398" s="84"/>
      <c r="B398" s="84"/>
      <c r="C398" s="83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 x14ac:dyDescent="0.25">
      <c r="A399" s="84"/>
      <c r="B399" s="84"/>
      <c r="C399" s="83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 x14ac:dyDescent="0.25">
      <c r="A400" s="84"/>
      <c r="B400" s="84"/>
      <c r="C400" s="83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 x14ac:dyDescent="0.25">
      <c r="A401" s="84"/>
      <c r="B401" s="84"/>
      <c r="C401" s="83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 x14ac:dyDescent="0.25">
      <c r="A402" s="84"/>
      <c r="B402" s="84"/>
      <c r="C402" s="83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 x14ac:dyDescent="0.25">
      <c r="A403" s="84"/>
      <c r="B403" s="84"/>
      <c r="C403" s="83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 x14ac:dyDescent="0.25">
      <c r="A404" s="84"/>
      <c r="B404" s="84"/>
      <c r="C404" s="83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 x14ac:dyDescent="0.25">
      <c r="A405" s="84"/>
      <c r="B405" s="84"/>
      <c r="C405" s="83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 x14ac:dyDescent="0.25">
      <c r="A406" s="84"/>
      <c r="B406" s="84"/>
      <c r="C406" s="83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 x14ac:dyDescent="0.25">
      <c r="A407" s="84"/>
      <c r="B407" s="84"/>
      <c r="C407" s="83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 x14ac:dyDescent="0.25">
      <c r="A408" s="84"/>
      <c r="B408" s="84"/>
      <c r="C408" s="83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 x14ac:dyDescent="0.25">
      <c r="A409" s="84"/>
      <c r="B409" s="84"/>
      <c r="C409" s="83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 x14ac:dyDescent="0.25">
      <c r="A410" s="84"/>
      <c r="B410" s="84"/>
      <c r="C410" s="83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 x14ac:dyDescent="0.25">
      <c r="A411" s="84"/>
      <c r="B411" s="84"/>
      <c r="C411" s="83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 x14ac:dyDescent="0.25">
      <c r="A412" s="84"/>
      <c r="B412" s="84"/>
      <c r="C412" s="83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 x14ac:dyDescent="0.25">
      <c r="A413" s="84"/>
      <c r="B413" s="84"/>
      <c r="C413" s="83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 x14ac:dyDescent="0.25">
      <c r="A414" s="84"/>
      <c r="B414" s="84"/>
      <c r="C414" s="83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 x14ac:dyDescent="0.25">
      <c r="A415" s="84"/>
      <c r="B415" s="84"/>
      <c r="C415" s="83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 x14ac:dyDescent="0.25">
      <c r="A416" s="84"/>
      <c r="B416" s="84"/>
      <c r="C416" s="83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 x14ac:dyDescent="0.25">
      <c r="A417" s="84"/>
      <c r="B417" s="84"/>
      <c r="C417" s="83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 x14ac:dyDescent="0.25">
      <c r="A418" s="84"/>
      <c r="B418" s="84"/>
      <c r="C418" s="83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 x14ac:dyDescent="0.25">
      <c r="A419" s="84"/>
      <c r="B419" s="84"/>
      <c r="C419" s="83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 x14ac:dyDescent="0.25">
      <c r="A420" s="84"/>
      <c r="B420" s="84"/>
      <c r="C420" s="83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 x14ac:dyDescent="0.25">
      <c r="A421" s="84"/>
      <c r="B421" s="84"/>
      <c r="C421" s="83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 x14ac:dyDescent="0.25">
      <c r="A422" s="84"/>
      <c r="B422" s="84"/>
      <c r="C422" s="83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 x14ac:dyDescent="0.25">
      <c r="A423" s="84"/>
      <c r="B423" s="84"/>
      <c r="C423" s="83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 x14ac:dyDescent="0.25">
      <c r="A424" s="84"/>
      <c r="B424" s="84"/>
      <c r="C424" s="83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 x14ac:dyDescent="0.25">
      <c r="A425" s="84"/>
      <c r="B425" s="84"/>
      <c r="C425" s="83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 x14ac:dyDescent="0.25">
      <c r="A426" s="84"/>
      <c r="B426" s="84"/>
      <c r="C426" s="83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 x14ac:dyDescent="0.25">
      <c r="A427" s="84"/>
      <c r="B427" s="84"/>
      <c r="C427" s="83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 x14ac:dyDescent="0.25">
      <c r="A428" s="84"/>
      <c r="B428" s="84"/>
      <c r="C428" s="83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 x14ac:dyDescent="0.25">
      <c r="A429" s="84"/>
      <c r="B429" s="84"/>
      <c r="C429" s="83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 x14ac:dyDescent="0.25">
      <c r="A430" s="84"/>
      <c r="B430" s="84"/>
      <c r="C430" s="83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 x14ac:dyDescent="0.25">
      <c r="A431" s="84"/>
      <c r="B431" s="84"/>
      <c r="C431" s="83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 x14ac:dyDescent="0.25">
      <c r="A432" s="84"/>
      <c r="B432" s="84"/>
      <c r="C432" s="83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 x14ac:dyDescent="0.25">
      <c r="A433" s="84"/>
      <c r="B433" s="84"/>
      <c r="C433" s="83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 x14ac:dyDescent="0.25">
      <c r="A434" s="84"/>
      <c r="B434" s="84"/>
      <c r="C434" s="83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 x14ac:dyDescent="0.25">
      <c r="A435" s="84"/>
      <c r="B435" s="84"/>
      <c r="C435" s="83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 x14ac:dyDescent="0.25">
      <c r="A436" s="84"/>
      <c r="B436" s="84"/>
      <c r="C436" s="83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 x14ac:dyDescent="0.25">
      <c r="A437" s="84"/>
      <c r="B437" s="84"/>
      <c r="C437" s="83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 x14ac:dyDescent="0.25">
      <c r="A438" s="84"/>
      <c r="B438" s="84"/>
      <c r="C438" s="83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 x14ac:dyDescent="0.25">
      <c r="A439" s="84"/>
      <c r="B439" s="84"/>
      <c r="C439" s="83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 x14ac:dyDescent="0.25">
      <c r="A440" s="84"/>
      <c r="B440" s="84"/>
      <c r="C440" s="83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 x14ac:dyDescent="0.25">
      <c r="A441" s="84"/>
      <c r="B441" s="84"/>
      <c r="C441" s="83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 x14ac:dyDescent="0.25">
      <c r="A442" s="84"/>
      <c r="B442" s="84"/>
      <c r="C442" s="83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 x14ac:dyDescent="0.25">
      <c r="A443" s="84"/>
      <c r="B443" s="84"/>
      <c r="C443" s="83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 x14ac:dyDescent="0.25">
      <c r="A444" s="84"/>
      <c r="B444" s="84"/>
      <c r="C444" s="83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 x14ac:dyDescent="0.25">
      <c r="A445" s="84"/>
      <c r="B445" s="84"/>
      <c r="C445" s="83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 x14ac:dyDescent="0.25">
      <c r="A446" s="84"/>
      <c r="B446" s="84"/>
      <c r="C446" s="83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 x14ac:dyDescent="0.25">
      <c r="A447" s="84"/>
      <c r="B447" s="84"/>
      <c r="C447" s="83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 x14ac:dyDescent="0.25">
      <c r="A448" s="84"/>
      <c r="B448" s="84"/>
      <c r="C448" s="83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 x14ac:dyDescent="0.25">
      <c r="A449" s="84"/>
      <c r="B449" s="84"/>
      <c r="C449" s="83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 x14ac:dyDescent="0.25">
      <c r="A450" s="84"/>
      <c r="B450" s="84"/>
      <c r="C450" s="83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 x14ac:dyDescent="0.25">
      <c r="A451" s="84"/>
      <c r="B451" s="84"/>
      <c r="C451" s="83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 x14ac:dyDescent="0.25">
      <c r="A452" s="84"/>
      <c r="B452" s="84"/>
      <c r="C452" s="83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 x14ac:dyDescent="0.25">
      <c r="A453" s="84"/>
      <c r="B453" s="84"/>
      <c r="C453" s="83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 x14ac:dyDescent="0.25">
      <c r="A454" s="84"/>
      <c r="B454" s="84"/>
      <c r="C454" s="83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 x14ac:dyDescent="0.25">
      <c r="A455" s="84"/>
      <c r="B455" s="84"/>
      <c r="C455" s="83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 x14ac:dyDescent="0.25">
      <c r="A456" s="84"/>
      <c r="B456" s="84"/>
      <c r="C456" s="83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 x14ac:dyDescent="0.25">
      <c r="A457" s="84"/>
      <c r="B457" s="84"/>
      <c r="C457" s="83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 x14ac:dyDescent="0.25">
      <c r="A458" s="84"/>
      <c r="B458" s="84"/>
      <c r="C458" s="83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 x14ac:dyDescent="0.25">
      <c r="A459" s="84"/>
      <c r="B459" s="84"/>
      <c r="C459" s="83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 x14ac:dyDescent="0.25">
      <c r="A460" s="84"/>
      <c r="B460" s="84"/>
      <c r="C460" s="83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 x14ac:dyDescent="0.25">
      <c r="A461" s="84"/>
      <c r="B461" s="84"/>
      <c r="C461" s="83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 x14ac:dyDescent="0.25">
      <c r="A462" s="84"/>
      <c r="B462" s="84"/>
      <c r="C462" s="83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 x14ac:dyDescent="0.25">
      <c r="A463" s="84"/>
      <c r="B463" s="84"/>
      <c r="C463" s="83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 x14ac:dyDescent="0.25">
      <c r="A464" s="84"/>
      <c r="B464" s="84"/>
      <c r="C464" s="83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 x14ac:dyDescent="0.25">
      <c r="A465" s="84"/>
      <c r="B465" s="84"/>
      <c r="C465" s="83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 x14ac:dyDescent="0.25">
      <c r="A466" s="84"/>
      <c r="B466" s="84"/>
      <c r="C466" s="83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 x14ac:dyDescent="0.25">
      <c r="A467" s="84"/>
      <c r="B467" s="84"/>
      <c r="C467" s="83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 x14ac:dyDescent="0.25">
      <c r="A468" s="84"/>
      <c r="B468" s="84"/>
      <c r="C468" s="83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 x14ac:dyDescent="0.25">
      <c r="A469" s="84"/>
      <c r="B469" s="84"/>
      <c r="C469" s="83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 x14ac:dyDescent="0.25">
      <c r="A470" s="84"/>
      <c r="B470" s="84"/>
      <c r="C470" s="83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 x14ac:dyDescent="0.25">
      <c r="A471" s="84"/>
      <c r="B471" s="84"/>
      <c r="C471" s="83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 x14ac:dyDescent="0.25">
      <c r="A472" s="84"/>
      <c r="B472" s="84"/>
      <c r="C472" s="83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 x14ac:dyDescent="0.25">
      <c r="A473" s="84"/>
      <c r="B473" s="84"/>
      <c r="C473" s="83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 x14ac:dyDescent="0.25">
      <c r="A474" s="84"/>
      <c r="B474" s="84"/>
      <c r="C474" s="83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 x14ac:dyDescent="0.25">
      <c r="A475" s="84"/>
      <c r="B475" s="84"/>
      <c r="C475" s="83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 x14ac:dyDescent="0.25">
      <c r="A476" s="84"/>
      <c r="B476" s="84"/>
      <c r="C476" s="83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 x14ac:dyDescent="0.25">
      <c r="A477" s="84"/>
      <c r="B477" s="84"/>
      <c r="C477" s="83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 x14ac:dyDescent="0.25">
      <c r="A478" s="84"/>
      <c r="B478" s="84"/>
      <c r="C478" s="83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 x14ac:dyDescent="0.25">
      <c r="A479" s="84"/>
      <c r="B479" s="84"/>
      <c r="C479" s="83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 x14ac:dyDescent="0.25">
      <c r="A480" s="84"/>
      <c r="B480" s="84"/>
      <c r="C480" s="83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 x14ac:dyDescent="0.25">
      <c r="A481" s="84"/>
      <c r="B481" s="84"/>
      <c r="C481" s="83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 x14ac:dyDescent="0.25">
      <c r="A482" s="84"/>
      <c r="B482" s="84"/>
      <c r="C482" s="83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 x14ac:dyDescent="0.25">
      <c r="A483" s="84"/>
      <c r="B483" s="84"/>
      <c r="C483" s="83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 x14ac:dyDescent="0.25">
      <c r="A484" s="84"/>
      <c r="B484" s="84"/>
      <c r="C484" s="83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 x14ac:dyDescent="0.25">
      <c r="A485" s="84"/>
      <c r="B485" s="84"/>
      <c r="C485" s="83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 x14ac:dyDescent="0.25">
      <c r="A486" s="84"/>
      <c r="B486" s="84"/>
      <c r="C486" s="83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 x14ac:dyDescent="0.25">
      <c r="A487" s="84"/>
      <c r="B487" s="84"/>
      <c r="C487" s="83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 x14ac:dyDescent="0.25">
      <c r="A488" s="84"/>
      <c r="B488" s="84"/>
      <c r="C488" s="83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 x14ac:dyDescent="0.25">
      <c r="A489" s="84"/>
      <c r="B489" s="84"/>
      <c r="C489" s="83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 x14ac:dyDescent="0.25">
      <c r="A490" s="84"/>
      <c r="B490" s="84"/>
      <c r="C490" s="83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 x14ac:dyDescent="0.25">
      <c r="A491" s="84"/>
      <c r="B491" s="84"/>
      <c r="C491" s="83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 x14ac:dyDescent="0.25">
      <c r="A492" s="84"/>
      <c r="B492" s="84"/>
      <c r="C492" s="83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 x14ac:dyDescent="0.25">
      <c r="A493" s="84"/>
      <c r="B493" s="84"/>
      <c r="C493" s="83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 x14ac:dyDescent="0.25">
      <c r="A494" s="84"/>
      <c r="B494" s="84"/>
      <c r="C494" s="83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 x14ac:dyDescent="0.25">
      <c r="A495" s="84"/>
      <c r="B495" s="84"/>
      <c r="C495" s="83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 x14ac:dyDescent="0.25">
      <c r="A496" s="84"/>
      <c r="B496" s="84"/>
      <c r="C496" s="83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 x14ac:dyDescent="0.25">
      <c r="A497" s="84"/>
      <c r="B497" s="84"/>
      <c r="C497" s="83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 x14ac:dyDescent="0.25">
      <c r="A498" s="84"/>
      <c r="B498" s="84"/>
      <c r="C498" s="83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 x14ac:dyDescent="0.25">
      <c r="A499" s="84"/>
      <c r="B499" s="84"/>
      <c r="C499" s="83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 x14ac:dyDescent="0.25">
      <c r="A500" s="84"/>
      <c r="B500" s="84"/>
      <c r="C500" s="83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 x14ac:dyDescent="0.25">
      <c r="A501" s="84"/>
      <c r="B501" s="84"/>
      <c r="C501" s="83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 x14ac:dyDescent="0.25">
      <c r="A502" s="84"/>
      <c r="B502" s="84"/>
      <c r="C502" s="83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 x14ac:dyDescent="0.25">
      <c r="A503" s="84"/>
      <c r="B503" s="84"/>
      <c r="C503" s="83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 x14ac:dyDescent="0.25">
      <c r="A504" s="84"/>
      <c r="B504" s="84"/>
      <c r="C504" s="83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 x14ac:dyDescent="0.25">
      <c r="A505" s="84"/>
      <c r="B505" s="84"/>
      <c r="C505" s="83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 x14ac:dyDescent="0.25">
      <c r="A506" s="84"/>
      <c r="B506" s="84"/>
      <c r="C506" s="83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 x14ac:dyDescent="0.25">
      <c r="A507" s="84"/>
      <c r="B507" s="84"/>
      <c r="C507" s="83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 x14ac:dyDescent="0.25">
      <c r="A508" s="84"/>
      <c r="B508" s="84"/>
      <c r="C508" s="83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 x14ac:dyDescent="0.25">
      <c r="A509" s="84"/>
      <c r="B509" s="84"/>
      <c r="C509" s="83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 x14ac:dyDescent="0.25">
      <c r="A510" s="84"/>
      <c r="B510" s="84"/>
      <c r="C510" s="83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 x14ac:dyDescent="0.25">
      <c r="A511" s="84"/>
      <c r="B511" s="84"/>
      <c r="C511" s="83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 x14ac:dyDescent="0.25">
      <c r="A512" s="84"/>
      <c r="B512" s="84"/>
      <c r="C512" s="83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 x14ac:dyDescent="0.25">
      <c r="A513" s="84"/>
      <c r="B513" s="84"/>
      <c r="C513" s="83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 x14ac:dyDescent="0.25">
      <c r="A514" s="84"/>
      <c r="B514" s="84"/>
      <c r="C514" s="83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 x14ac:dyDescent="0.25">
      <c r="A515" s="84"/>
      <c r="B515" s="84"/>
      <c r="C515" s="83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 x14ac:dyDescent="0.25">
      <c r="A516" s="84"/>
      <c r="B516" s="84"/>
      <c r="C516" s="83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 x14ac:dyDescent="0.25">
      <c r="A517" s="84"/>
      <c r="B517" s="84"/>
      <c r="C517" s="83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 x14ac:dyDescent="0.25">
      <c r="A518" s="84"/>
      <c r="B518" s="84"/>
      <c r="C518" s="83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 x14ac:dyDescent="0.25">
      <c r="A519" s="84"/>
      <c r="B519" s="84"/>
      <c r="C519" s="83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 x14ac:dyDescent="0.25">
      <c r="A520" s="84"/>
      <c r="B520" s="84"/>
      <c r="C520" s="83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 x14ac:dyDescent="0.25">
      <c r="A521" s="84"/>
      <c r="B521" s="84"/>
      <c r="C521" s="83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 x14ac:dyDescent="0.25">
      <c r="A522" s="84"/>
      <c r="B522" s="84"/>
      <c r="C522" s="83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 x14ac:dyDescent="0.25">
      <c r="A523" s="84"/>
      <c r="B523" s="84"/>
      <c r="C523" s="83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 x14ac:dyDescent="0.25">
      <c r="A524" s="84"/>
      <c r="B524" s="84"/>
      <c r="C524" s="83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 x14ac:dyDescent="0.25">
      <c r="A525" s="84"/>
      <c r="B525" s="84"/>
      <c r="C525" s="83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 x14ac:dyDescent="0.25">
      <c r="A526" s="84"/>
      <c r="B526" s="84"/>
      <c r="C526" s="83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 x14ac:dyDescent="0.25">
      <c r="A527" s="84"/>
      <c r="B527" s="84"/>
      <c r="C527" s="83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 x14ac:dyDescent="0.25">
      <c r="A528" s="84"/>
      <c r="B528" s="84"/>
      <c r="C528" s="83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 x14ac:dyDescent="0.25">
      <c r="A529" s="84"/>
      <c r="B529" s="84"/>
      <c r="C529" s="83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 x14ac:dyDescent="0.25">
      <c r="A530" s="84"/>
      <c r="B530" s="84"/>
      <c r="C530" s="83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 x14ac:dyDescent="0.25">
      <c r="A531" s="84"/>
      <c r="B531" s="84"/>
      <c r="C531" s="83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 x14ac:dyDescent="0.25">
      <c r="A532" s="84"/>
      <c r="B532" s="84"/>
      <c r="C532" s="83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 x14ac:dyDescent="0.25">
      <c r="A533" s="84"/>
      <c r="B533" s="84"/>
      <c r="C533" s="83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 x14ac:dyDescent="0.25">
      <c r="A534" s="84"/>
      <c r="B534" s="84"/>
      <c r="C534" s="83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 x14ac:dyDescent="0.25">
      <c r="A535" s="84"/>
      <c r="B535" s="84"/>
      <c r="C535" s="83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 x14ac:dyDescent="0.25">
      <c r="A536" s="84"/>
      <c r="B536" s="84"/>
      <c r="C536" s="83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 x14ac:dyDescent="0.25">
      <c r="A537" s="84"/>
      <c r="B537" s="84"/>
      <c r="C537" s="83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 x14ac:dyDescent="0.25">
      <c r="A538" s="84"/>
      <c r="B538" s="84"/>
      <c r="C538" s="83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 x14ac:dyDescent="0.25">
      <c r="A539" s="84"/>
      <c r="B539" s="84"/>
      <c r="C539" s="83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 x14ac:dyDescent="0.25">
      <c r="A540" s="84"/>
      <c r="B540" s="84"/>
      <c r="C540" s="83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 x14ac:dyDescent="0.25">
      <c r="A541" s="84"/>
      <c r="B541" s="84"/>
      <c r="C541" s="83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 x14ac:dyDescent="0.25">
      <c r="A542" s="84"/>
      <c r="B542" s="84"/>
      <c r="C542" s="83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 x14ac:dyDescent="0.25">
      <c r="A543" s="84"/>
      <c r="B543" s="84"/>
      <c r="C543" s="83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 x14ac:dyDescent="0.25">
      <c r="A544" s="84"/>
      <c r="B544" s="84"/>
      <c r="C544" s="83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 x14ac:dyDescent="0.25">
      <c r="A545" s="84"/>
      <c r="B545" s="84"/>
      <c r="C545" s="83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 x14ac:dyDescent="0.25">
      <c r="A546" s="84"/>
      <c r="B546" s="84"/>
      <c r="C546" s="83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 x14ac:dyDescent="0.25">
      <c r="A547" s="84"/>
      <c r="B547" s="84"/>
      <c r="C547" s="83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 x14ac:dyDescent="0.25">
      <c r="A548" s="84"/>
      <c r="B548" s="84"/>
      <c r="C548" s="83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 x14ac:dyDescent="0.25">
      <c r="A549" s="84"/>
      <c r="B549" s="84"/>
      <c r="C549" s="83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 x14ac:dyDescent="0.25">
      <c r="A550" s="84"/>
      <c r="B550" s="84"/>
      <c r="C550" s="83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 x14ac:dyDescent="0.25">
      <c r="A551" s="84"/>
      <c r="B551" s="84"/>
      <c r="C551" s="83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 x14ac:dyDescent="0.25">
      <c r="A552" s="84"/>
      <c r="B552" s="84"/>
      <c r="C552" s="83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 x14ac:dyDescent="0.25">
      <c r="A553" s="84"/>
      <c r="B553" s="84"/>
      <c r="C553" s="83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 x14ac:dyDescent="0.25">
      <c r="A554" s="84"/>
      <c r="B554" s="84"/>
      <c r="C554" s="83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 x14ac:dyDescent="0.25">
      <c r="A555" s="84"/>
      <c r="B555" s="84"/>
      <c r="C555" s="83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 x14ac:dyDescent="0.25">
      <c r="A556" s="84"/>
      <c r="B556" s="84"/>
      <c r="C556" s="83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 x14ac:dyDescent="0.25">
      <c r="A557" s="84"/>
      <c r="B557" s="84"/>
      <c r="C557" s="83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 x14ac:dyDescent="0.25">
      <c r="A558" s="84"/>
      <c r="B558" s="84"/>
      <c r="C558" s="83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 x14ac:dyDescent="0.25">
      <c r="A559" s="84"/>
      <c r="B559" s="84"/>
      <c r="C559" s="83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 x14ac:dyDescent="0.25">
      <c r="A560" s="84"/>
      <c r="B560" s="84"/>
      <c r="C560" s="83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 x14ac:dyDescent="0.25">
      <c r="A561" s="84"/>
      <c r="B561" s="84"/>
      <c r="C561" s="83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 x14ac:dyDescent="0.25">
      <c r="A562" s="84"/>
      <c r="B562" s="84"/>
      <c r="C562" s="83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 x14ac:dyDescent="0.25">
      <c r="A563" s="84"/>
      <c r="B563" s="84"/>
      <c r="C563" s="83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 x14ac:dyDescent="0.25">
      <c r="A564" s="84"/>
      <c r="B564" s="84"/>
      <c r="C564" s="83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 x14ac:dyDescent="0.25">
      <c r="A565" s="84"/>
      <c r="B565" s="84"/>
      <c r="C565" s="83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 x14ac:dyDescent="0.25">
      <c r="A566" s="84"/>
      <c r="B566" s="84"/>
      <c r="C566" s="83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 x14ac:dyDescent="0.25">
      <c r="A567" s="84"/>
      <c r="B567" s="84"/>
      <c r="C567" s="83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 x14ac:dyDescent="0.25">
      <c r="A568" s="84"/>
      <c r="B568" s="84"/>
      <c r="C568" s="83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 x14ac:dyDescent="0.25">
      <c r="A569" s="84"/>
      <c r="B569" s="84"/>
      <c r="C569" s="83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 x14ac:dyDescent="0.25">
      <c r="A570" s="84"/>
      <c r="B570" s="84"/>
      <c r="C570" s="83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 x14ac:dyDescent="0.25">
      <c r="A571" s="84"/>
      <c r="B571" s="84"/>
      <c r="C571" s="83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 x14ac:dyDescent="0.25">
      <c r="A572" s="84"/>
      <c r="B572" s="84"/>
      <c r="C572" s="83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 x14ac:dyDescent="0.25">
      <c r="A573" s="84"/>
      <c r="B573" s="84"/>
      <c r="C573" s="83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 x14ac:dyDescent="0.25">
      <c r="A574" s="84"/>
      <c r="B574" s="84"/>
      <c r="C574" s="83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 x14ac:dyDescent="0.25">
      <c r="A575" s="84"/>
      <c r="B575" s="84"/>
      <c r="C575" s="83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 x14ac:dyDescent="0.25">
      <c r="A576" s="84"/>
      <c r="B576" s="84"/>
      <c r="C576" s="83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 x14ac:dyDescent="0.25">
      <c r="A577" s="84"/>
      <c r="B577" s="84"/>
      <c r="C577" s="83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 x14ac:dyDescent="0.25">
      <c r="A578" s="84"/>
      <c r="B578" s="84"/>
      <c r="C578" s="83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 x14ac:dyDescent="0.25">
      <c r="A579" s="84"/>
      <c r="B579" s="84"/>
      <c r="C579" s="83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 x14ac:dyDescent="0.25">
      <c r="A580" s="84"/>
      <c r="B580" s="84"/>
      <c r="C580" s="83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 x14ac:dyDescent="0.25">
      <c r="A581" s="84"/>
      <c r="B581" s="84"/>
      <c r="C581" s="83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 x14ac:dyDescent="0.25">
      <c r="A582" s="84"/>
      <c r="B582" s="84"/>
      <c r="C582" s="83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 x14ac:dyDescent="0.25">
      <c r="A583" s="84"/>
      <c r="B583" s="84"/>
      <c r="C583" s="83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 x14ac:dyDescent="0.25">
      <c r="A584" s="84"/>
      <c r="B584" s="84"/>
      <c r="C584" s="83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 x14ac:dyDescent="0.25">
      <c r="A585" s="84"/>
      <c r="B585" s="84"/>
      <c r="C585" s="83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 x14ac:dyDescent="0.25">
      <c r="A586" s="84"/>
      <c r="B586" s="84"/>
      <c r="C586" s="83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 x14ac:dyDescent="0.25">
      <c r="A587" s="84"/>
      <c r="B587" s="84"/>
      <c r="C587" s="83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 x14ac:dyDescent="0.25">
      <c r="A588" s="84"/>
      <c r="B588" s="84"/>
      <c r="C588" s="83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 x14ac:dyDescent="0.25">
      <c r="A589" s="84"/>
      <c r="B589" s="84"/>
      <c r="C589" s="83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 x14ac:dyDescent="0.25">
      <c r="A590" s="84"/>
      <c r="B590" s="84"/>
      <c r="C590" s="83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 x14ac:dyDescent="0.25">
      <c r="A591" s="84"/>
      <c r="B591" s="84"/>
      <c r="C591" s="83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 x14ac:dyDescent="0.25">
      <c r="A592" s="84"/>
      <c r="B592" s="84"/>
      <c r="C592" s="83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 x14ac:dyDescent="0.25">
      <c r="A593" s="84"/>
      <c r="B593" s="84"/>
      <c r="C593" s="83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 x14ac:dyDescent="0.25">
      <c r="A594" s="84"/>
      <c r="B594" s="84"/>
      <c r="C594" s="83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 x14ac:dyDescent="0.25">
      <c r="A595" s="84"/>
      <c r="B595" s="84"/>
      <c r="C595" s="83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 x14ac:dyDescent="0.25">
      <c r="A596" s="84"/>
      <c r="B596" s="84"/>
      <c r="C596" s="83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 x14ac:dyDescent="0.25">
      <c r="A597" s="84"/>
      <c r="B597" s="84"/>
      <c r="C597" s="83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 x14ac:dyDescent="0.25">
      <c r="A598" s="84"/>
      <c r="B598" s="84"/>
      <c r="C598" s="83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 x14ac:dyDescent="0.25">
      <c r="A599" s="84"/>
      <c r="B599" s="84"/>
      <c r="C599" s="83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 x14ac:dyDescent="0.25">
      <c r="A600" s="84"/>
      <c r="B600" s="84"/>
      <c r="C600" s="83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 x14ac:dyDescent="0.25">
      <c r="A601" s="84"/>
      <c r="B601" s="84"/>
      <c r="C601" s="83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 x14ac:dyDescent="0.25">
      <c r="A602" s="84"/>
      <c r="B602" s="84"/>
      <c r="C602" s="83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 x14ac:dyDescent="0.25">
      <c r="A603" s="84"/>
      <c r="B603" s="84"/>
      <c r="C603" s="83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 x14ac:dyDescent="0.25">
      <c r="A604" s="84"/>
      <c r="B604" s="84"/>
      <c r="C604" s="83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 x14ac:dyDescent="0.25">
      <c r="A605" s="84"/>
      <c r="B605" s="84"/>
      <c r="C605" s="83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 x14ac:dyDescent="0.25">
      <c r="A606" s="84"/>
      <c r="B606" s="84"/>
      <c r="C606" s="83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 x14ac:dyDescent="0.25">
      <c r="A607" s="84"/>
      <c r="B607" s="84"/>
      <c r="C607" s="83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 x14ac:dyDescent="0.25">
      <c r="A608" s="84"/>
      <c r="B608" s="84"/>
      <c r="C608" s="83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 x14ac:dyDescent="0.25">
      <c r="A609" s="84"/>
      <c r="B609" s="84"/>
      <c r="C609" s="83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 x14ac:dyDescent="0.25">
      <c r="A610" s="84"/>
      <c r="B610" s="84"/>
      <c r="C610" s="83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 x14ac:dyDescent="0.25">
      <c r="A611" s="84"/>
      <c r="B611" s="84"/>
      <c r="C611" s="83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 x14ac:dyDescent="0.25">
      <c r="A612" s="84"/>
      <c r="B612" s="84"/>
      <c r="C612" s="83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 x14ac:dyDescent="0.25">
      <c r="A613" s="84"/>
      <c r="B613" s="84"/>
      <c r="C613" s="83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 x14ac:dyDescent="0.25">
      <c r="A614" s="84"/>
      <c r="B614" s="84"/>
      <c r="C614" s="83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 x14ac:dyDescent="0.25">
      <c r="A615" s="84"/>
      <c r="B615" s="84"/>
      <c r="C615" s="83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 x14ac:dyDescent="0.25">
      <c r="A616" s="84"/>
      <c r="B616" s="84"/>
      <c r="C616" s="83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 x14ac:dyDescent="0.25">
      <c r="A617" s="84"/>
      <c r="B617" s="84"/>
      <c r="C617" s="83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 x14ac:dyDescent="0.25">
      <c r="A618" s="84"/>
      <c r="B618" s="84"/>
      <c r="C618" s="83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 x14ac:dyDescent="0.25">
      <c r="A619" s="84"/>
      <c r="B619" s="84"/>
      <c r="C619" s="83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 x14ac:dyDescent="0.25">
      <c r="A620" s="84"/>
      <c r="B620" s="84"/>
      <c r="C620" s="83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 x14ac:dyDescent="0.25">
      <c r="A621" s="84"/>
      <c r="B621" s="84"/>
      <c r="C621" s="83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 x14ac:dyDescent="0.25">
      <c r="A622" s="84"/>
      <c r="B622" s="84"/>
      <c r="C622" s="83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 x14ac:dyDescent="0.25">
      <c r="A623" s="84"/>
      <c r="B623" s="84"/>
      <c r="C623" s="83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 x14ac:dyDescent="0.25">
      <c r="A624" s="84"/>
      <c r="B624" s="84"/>
      <c r="C624" s="83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 x14ac:dyDescent="0.25">
      <c r="A625" s="84"/>
      <c r="B625" s="84"/>
      <c r="C625" s="83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 x14ac:dyDescent="0.25">
      <c r="A626" s="84"/>
      <c r="B626" s="84"/>
      <c r="C626" s="83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 x14ac:dyDescent="0.25">
      <c r="A627" s="84"/>
      <c r="B627" s="84"/>
      <c r="C627" s="83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 x14ac:dyDescent="0.25">
      <c r="A628" s="84"/>
      <c r="B628" s="84"/>
      <c r="C628" s="83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 x14ac:dyDescent="0.25">
      <c r="A629" s="84"/>
      <c r="B629" s="84"/>
      <c r="C629" s="83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 x14ac:dyDescent="0.25">
      <c r="A630" s="84"/>
      <c r="B630" s="84"/>
      <c r="C630" s="83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 x14ac:dyDescent="0.25">
      <c r="A631" s="84"/>
      <c r="B631" s="84"/>
      <c r="C631" s="83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 x14ac:dyDescent="0.25">
      <c r="A632" s="84"/>
      <c r="B632" s="84"/>
      <c r="C632" s="83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 x14ac:dyDescent="0.25">
      <c r="A633" s="84"/>
      <c r="B633" s="84"/>
      <c r="C633" s="83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 x14ac:dyDescent="0.25">
      <c r="A634" s="84"/>
      <c r="B634" s="84"/>
      <c r="C634" s="83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 x14ac:dyDescent="0.25">
      <c r="A635" s="84"/>
      <c r="B635" s="84"/>
      <c r="C635" s="83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 x14ac:dyDescent="0.25">
      <c r="A636" s="84"/>
      <c r="B636" s="84"/>
      <c r="C636" s="83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 x14ac:dyDescent="0.25">
      <c r="A637" s="84"/>
      <c r="B637" s="84"/>
      <c r="C637" s="83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 x14ac:dyDescent="0.25">
      <c r="A638" s="84"/>
      <c r="B638" s="84"/>
      <c r="C638" s="83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 x14ac:dyDescent="0.25">
      <c r="A639" s="84"/>
      <c r="B639" s="84"/>
      <c r="C639" s="83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 x14ac:dyDescent="0.25">
      <c r="A640" s="84"/>
      <c r="B640" s="84"/>
      <c r="C640" s="83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 x14ac:dyDescent="0.25">
      <c r="A641" s="84"/>
      <c r="B641" s="84"/>
      <c r="C641" s="83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 x14ac:dyDescent="0.25">
      <c r="A642" s="84"/>
      <c r="B642" s="84"/>
      <c r="C642" s="83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 x14ac:dyDescent="0.25">
      <c r="A643" s="84"/>
      <c r="B643" s="84"/>
      <c r="C643" s="83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 x14ac:dyDescent="0.25">
      <c r="A644" s="84"/>
      <c r="B644" s="84"/>
      <c r="C644" s="83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 x14ac:dyDescent="0.25">
      <c r="A645" s="84"/>
      <c r="B645" s="84"/>
      <c r="C645" s="83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 x14ac:dyDescent="0.25">
      <c r="A646" s="84"/>
      <c r="B646" s="84"/>
      <c r="C646" s="83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 x14ac:dyDescent="0.25">
      <c r="A647" s="84"/>
      <c r="B647" s="84"/>
      <c r="C647" s="83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 x14ac:dyDescent="0.25">
      <c r="A648" s="84"/>
      <c r="B648" s="84"/>
      <c r="C648" s="83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 x14ac:dyDescent="0.25">
      <c r="A649" s="84"/>
      <c r="B649" s="84"/>
      <c r="C649" s="83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 x14ac:dyDescent="0.25">
      <c r="A650" s="84"/>
      <c r="B650" s="84"/>
      <c r="C650" s="83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 x14ac:dyDescent="0.25">
      <c r="A651" s="84"/>
      <c r="B651" s="84"/>
      <c r="C651" s="83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 x14ac:dyDescent="0.25">
      <c r="A652" s="84"/>
      <c r="B652" s="84"/>
      <c r="C652" s="83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 x14ac:dyDescent="0.25">
      <c r="A653" s="84"/>
      <c r="B653" s="84"/>
      <c r="C653" s="83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 x14ac:dyDescent="0.25">
      <c r="A654" s="84"/>
      <c r="B654" s="84"/>
      <c r="C654" s="83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 x14ac:dyDescent="0.25">
      <c r="A655" s="84"/>
      <c r="B655" s="84"/>
      <c r="C655" s="83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 x14ac:dyDescent="0.25">
      <c r="A656" s="84"/>
      <c r="B656" s="84"/>
      <c r="C656" s="83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 x14ac:dyDescent="0.25">
      <c r="A657" s="84"/>
      <c r="B657" s="84"/>
      <c r="C657" s="83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 x14ac:dyDescent="0.25">
      <c r="A658" s="84"/>
      <c r="B658" s="84"/>
      <c r="C658" s="83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 x14ac:dyDescent="0.25">
      <c r="A659" s="84"/>
      <c r="B659" s="84"/>
      <c r="C659" s="83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 x14ac:dyDescent="0.25">
      <c r="A660" s="84"/>
      <c r="B660" s="84"/>
      <c r="C660" s="83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 x14ac:dyDescent="0.25">
      <c r="A661" s="84"/>
      <c r="B661" s="84"/>
      <c r="C661" s="83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 x14ac:dyDescent="0.25">
      <c r="A662" s="84"/>
      <c r="B662" s="84"/>
      <c r="C662" s="83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 x14ac:dyDescent="0.25">
      <c r="A663" s="84"/>
      <c r="B663" s="84"/>
      <c r="C663" s="83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 x14ac:dyDescent="0.25">
      <c r="A664" s="84"/>
      <c r="B664" s="84"/>
      <c r="C664" s="83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 x14ac:dyDescent="0.25">
      <c r="A665" s="84"/>
      <c r="B665" s="84"/>
      <c r="C665" s="83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 x14ac:dyDescent="0.25">
      <c r="A666" s="84"/>
      <c r="B666" s="84"/>
      <c r="C666" s="83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 x14ac:dyDescent="0.25">
      <c r="A667" s="84"/>
      <c r="B667" s="84"/>
      <c r="C667" s="83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 x14ac:dyDescent="0.25">
      <c r="A668" s="84"/>
      <c r="B668" s="84"/>
      <c r="C668" s="83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 x14ac:dyDescent="0.25">
      <c r="A669" s="84"/>
      <c r="B669" s="84"/>
      <c r="C669" s="83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 x14ac:dyDescent="0.25">
      <c r="A670" s="84"/>
      <c r="B670" s="84"/>
      <c r="C670" s="83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 x14ac:dyDescent="0.25">
      <c r="A671" s="84"/>
      <c r="B671" s="84"/>
      <c r="C671" s="83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 x14ac:dyDescent="0.25">
      <c r="A672" s="84"/>
      <c r="B672" s="84"/>
      <c r="C672" s="83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 x14ac:dyDescent="0.25">
      <c r="A673" s="84"/>
      <c r="B673" s="84"/>
      <c r="C673" s="83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 x14ac:dyDescent="0.25">
      <c r="A674" s="84"/>
      <c r="B674" s="84"/>
      <c r="C674" s="83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 x14ac:dyDescent="0.25">
      <c r="A675" s="84"/>
      <c r="B675" s="84"/>
      <c r="C675" s="83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 x14ac:dyDescent="0.25">
      <c r="A676" s="84"/>
      <c r="B676" s="84"/>
      <c r="C676" s="83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 x14ac:dyDescent="0.25">
      <c r="A677" s="84"/>
      <c r="B677" s="84"/>
      <c r="C677" s="83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 x14ac:dyDescent="0.25">
      <c r="A678" s="84"/>
      <c r="B678" s="84"/>
      <c r="C678" s="83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 x14ac:dyDescent="0.25">
      <c r="A679" s="84"/>
      <c r="B679" s="84"/>
      <c r="C679" s="83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 x14ac:dyDescent="0.25">
      <c r="A680" s="84"/>
      <c r="B680" s="84"/>
      <c r="C680" s="83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 x14ac:dyDescent="0.25">
      <c r="A681" s="84"/>
      <c r="B681" s="84"/>
      <c r="C681" s="83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 x14ac:dyDescent="0.25">
      <c r="A682" s="84"/>
      <c r="B682" s="84"/>
      <c r="C682" s="83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 x14ac:dyDescent="0.25">
      <c r="A683" s="84"/>
      <c r="B683" s="84"/>
      <c r="C683" s="83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 x14ac:dyDescent="0.25">
      <c r="A684" s="84"/>
      <c r="B684" s="84"/>
      <c r="C684" s="83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 x14ac:dyDescent="0.25">
      <c r="A685" s="84"/>
      <c r="B685" s="84"/>
      <c r="C685" s="83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 x14ac:dyDescent="0.25">
      <c r="A686" s="84"/>
      <c r="B686" s="84"/>
      <c r="C686" s="83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 x14ac:dyDescent="0.25">
      <c r="A687" s="84"/>
      <c r="B687" s="84"/>
      <c r="C687" s="83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 x14ac:dyDescent="0.25">
      <c r="A688" s="84"/>
      <c r="B688" s="84"/>
      <c r="C688" s="83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 x14ac:dyDescent="0.25">
      <c r="A689" s="84"/>
      <c r="B689" s="84"/>
      <c r="C689" s="83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 x14ac:dyDescent="0.25">
      <c r="A690" s="84"/>
      <c r="B690" s="84"/>
      <c r="C690" s="83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 x14ac:dyDescent="0.25">
      <c r="A691" s="84"/>
      <c r="B691" s="84"/>
      <c r="C691" s="83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 x14ac:dyDescent="0.25">
      <c r="A692" s="84"/>
      <c r="B692" s="84"/>
      <c r="C692" s="83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 x14ac:dyDescent="0.25">
      <c r="A693" s="84"/>
      <c r="B693" s="84"/>
      <c r="C693" s="83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 x14ac:dyDescent="0.25">
      <c r="A694" s="84"/>
      <c r="B694" s="84"/>
      <c r="C694" s="83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 x14ac:dyDescent="0.25">
      <c r="A695" s="84"/>
      <c r="B695" s="84"/>
      <c r="C695" s="83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 x14ac:dyDescent="0.25">
      <c r="A696" s="84"/>
      <c r="B696" s="84"/>
      <c r="C696" s="83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 x14ac:dyDescent="0.25">
      <c r="A697" s="84"/>
      <c r="B697" s="84"/>
      <c r="C697" s="83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 x14ac:dyDescent="0.25">
      <c r="A698" s="84"/>
      <c r="B698" s="84"/>
      <c r="C698" s="83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 x14ac:dyDescent="0.25">
      <c r="A699" s="84"/>
      <c r="B699" s="84"/>
      <c r="C699" s="83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 x14ac:dyDescent="0.25">
      <c r="A700" s="84"/>
      <c r="B700" s="84"/>
      <c r="C700" s="83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 x14ac:dyDescent="0.25">
      <c r="A701" s="84"/>
      <c r="B701" s="84"/>
      <c r="C701" s="83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 x14ac:dyDescent="0.25">
      <c r="A702" s="84"/>
      <c r="B702" s="84"/>
      <c r="C702" s="83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 x14ac:dyDescent="0.25">
      <c r="A703" s="84"/>
      <c r="B703" s="84"/>
      <c r="C703" s="83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 x14ac:dyDescent="0.25">
      <c r="A704" s="84"/>
      <c r="B704" s="84"/>
      <c r="C704" s="83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 x14ac:dyDescent="0.25">
      <c r="A705" s="84"/>
      <c r="B705" s="84"/>
      <c r="C705" s="83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 x14ac:dyDescent="0.25">
      <c r="A706" s="84"/>
      <c r="B706" s="84"/>
      <c r="C706" s="83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 x14ac:dyDescent="0.25">
      <c r="A707" s="84"/>
      <c r="B707" s="84"/>
      <c r="C707" s="83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 x14ac:dyDescent="0.25">
      <c r="A708" s="84"/>
      <c r="B708" s="84"/>
      <c r="C708" s="83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 x14ac:dyDescent="0.25">
      <c r="A709" s="84"/>
      <c r="B709" s="84"/>
      <c r="C709" s="83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 x14ac:dyDescent="0.25">
      <c r="A710" s="84"/>
      <c r="B710" s="84"/>
      <c r="C710" s="83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 x14ac:dyDescent="0.25">
      <c r="A711" s="84"/>
      <c r="B711" s="84"/>
      <c r="C711" s="83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 x14ac:dyDescent="0.25">
      <c r="A712" s="84"/>
      <c r="B712" s="84"/>
      <c r="C712" s="83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 x14ac:dyDescent="0.25">
      <c r="A713" s="84"/>
      <c r="B713" s="84"/>
      <c r="C713" s="83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 x14ac:dyDescent="0.25">
      <c r="A714" s="84"/>
      <c r="B714" s="84"/>
      <c r="C714" s="83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 x14ac:dyDescent="0.25">
      <c r="A715" s="84"/>
      <c r="B715" s="84"/>
      <c r="C715" s="83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 x14ac:dyDescent="0.25">
      <c r="A716" s="84"/>
      <c r="B716" s="84"/>
      <c r="C716" s="83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 x14ac:dyDescent="0.25">
      <c r="A717" s="84"/>
      <c r="B717" s="84"/>
      <c r="C717" s="83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 x14ac:dyDescent="0.25">
      <c r="A718" s="84"/>
      <c r="B718" s="84"/>
      <c r="C718" s="83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 x14ac:dyDescent="0.25">
      <c r="A719" s="84"/>
      <c r="B719" s="84"/>
      <c r="C719" s="83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 x14ac:dyDescent="0.25">
      <c r="A720" s="84"/>
      <c r="B720" s="84"/>
      <c r="C720" s="83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 x14ac:dyDescent="0.25">
      <c r="A721" s="84"/>
      <c r="B721" s="84"/>
      <c r="C721" s="83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 x14ac:dyDescent="0.25">
      <c r="A722" s="84"/>
      <c r="B722" s="84"/>
      <c r="C722" s="83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 x14ac:dyDescent="0.25">
      <c r="A723" s="84"/>
      <c r="B723" s="84"/>
      <c r="C723" s="83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 x14ac:dyDescent="0.25">
      <c r="A724" s="84"/>
      <c r="B724" s="84"/>
      <c r="C724" s="83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 x14ac:dyDescent="0.25">
      <c r="A725" s="84"/>
      <c r="B725" s="84"/>
      <c r="C725" s="83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 x14ac:dyDescent="0.25">
      <c r="A726" s="84"/>
      <c r="B726" s="84"/>
      <c r="C726" s="83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 x14ac:dyDescent="0.25">
      <c r="A727" s="84"/>
      <c r="B727" s="84"/>
      <c r="C727" s="83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 x14ac:dyDescent="0.25">
      <c r="A728" s="84"/>
      <c r="B728" s="84"/>
      <c r="C728" s="83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 x14ac:dyDescent="0.25">
      <c r="A729" s="84"/>
      <c r="B729" s="84"/>
      <c r="C729" s="83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 x14ac:dyDescent="0.25">
      <c r="A730" s="84"/>
      <c r="B730" s="84"/>
      <c r="C730" s="83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 x14ac:dyDescent="0.25">
      <c r="A731" s="84"/>
      <c r="B731" s="84"/>
      <c r="C731" s="83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 x14ac:dyDescent="0.25">
      <c r="A732" s="84"/>
      <c r="B732" s="84"/>
      <c r="C732" s="83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 x14ac:dyDescent="0.25">
      <c r="A733" s="84"/>
      <c r="B733" s="84"/>
      <c r="C733" s="83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 x14ac:dyDescent="0.25">
      <c r="A734" s="84"/>
      <c r="B734" s="84"/>
      <c r="C734" s="83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 x14ac:dyDescent="0.25">
      <c r="A735" s="84"/>
      <c r="B735" s="84"/>
      <c r="C735" s="83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 x14ac:dyDescent="0.25">
      <c r="A736" s="84"/>
      <c r="B736" s="84"/>
      <c r="C736" s="83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 x14ac:dyDescent="0.25">
      <c r="A737" s="84"/>
      <c r="B737" s="84"/>
      <c r="C737" s="83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 x14ac:dyDescent="0.25">
      <c r="A738" s="84"/>
      <c r="B738" s="84"/>
      <c r="C738" s="83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 x14ac:dyDescent="0.25">
      <c r="A739" s="84"/>
      <c r="B739" s="84"/>
      <c r="C739" s="83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 x14ac:dyDescent="0.25">
      <c r="A740" s="84"/>
      <c r="B740" s="84"/>
      <c r="C740" s="83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 x14ac:dyDescent="0.25">
      <c r="A741" s="84"/>
      <c r="B741" s="84"/>
      <c r="C741" s="83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 x14ac:dyDescent="0.25">
      <c r="A742" s="84"/>
      <c r="B742" s="84"/>
      <c r="C742" s="83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 x14ac:dyDescent="0.25">
      <c r="A743" s="84"/>
      <c r="B743" s="84"/>
      <c r="C743" s="83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 x14ac:dyDescent="0.25">
      <c r="A744" s="84"/>
      <c r="B744" s="84"/>
      <c r="C744" s="83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 x14ac:dyDescent="0.25">
      <c r="A745" s="84"/>
      <c r="B745" s="84"/>
      <c r="C745" s="83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 x14ac:dyDescent="0.25">
      <c r="A746" s="84"/>
      <c r="B746" s="84"/>
      <c r="C746" s="83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 x14ac:dyDescent="0.25">
      <c r="A747" s="84"/>
      <c r="B747" s="84"/>
      <c r="C747" s="83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 x14ac:dyDescent="0.25">
      <c r="A748" s="84"/>
      <c r="B748" s="84"/>
      <c r="C748" s="83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 x14ac:dyDescent="0.25">
      <c r="A749" s="84"/>
      <c r="B749" s="84"/>
      <c r="C749" s="83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 x14ac:dyDescent="0.25">
      <c r="A750" s="84"/>
      <c r="B750" s="84"/>
      <c r="C750" s="83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 x14ac:dyDescent="0.25">
      <c r="A751" s="84"/>
      <c r="B751" s="84"/>
      <c r="C751" s="83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 x14ac:dyDescent="0.25">
      <c r="A752" s="84"/>
      <c r="B752" s="84"/>
      <c r="C752" s="83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 x14ac:dyDescent="0.25">
      <c r="A753" s="84"/>
      <c r="B753" s="84"/>
      <c r="C753" s="83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 x14ac:dyDescent="0.25">
      <c r="A754" s="84"/>
      <c r="B754" s="84"/>
      <c r="C754" s="83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 x14ac:dyDescent="0.25">
      <c r="A755" s="84"/>
      <c r="B755" s="84"/>
      <c r="C755" s="83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 x14ac:dyDescent="0.25">
      <c r="A756" s="84"/>
      <c r="B756" s="84"/>
      <c r="C756" s="83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 x14ac:dyDescent="0.25">
      <c r="A757" s="84"/>
      <c r="B757" s="84"/>
      <c r="C757" s="83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 x14ac:dyDescent="0.25">
      <c r="A758" s="84"/>
      <c r="B758" s="84"/>
      <c r="C758" s="83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 x14ac:dyDescent="0.25">
      <c r="A759" s="84"/>
      <c r="B759" s="84"/>
      <c r="C759" s="83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 x14ac:dyDescent="0.25">
      <c r="A760" s="84"/>
      <c r="B760" s="84"/>
      <c r="C760" s="83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 x14ac:dyDescent="0.25">
      <c r="A761" s="84"/>
      <c r="B761" s="84"/>
      <c r="C761" s="83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 x14ac:dyDescent="0.25">
      <c r="A762" s="84"/>
      <c r="B762" s="84"/>
      <c r="C762" s="83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 x14ac:dyDescent="0.25">
      <c r="A763" s="84"/>
      <c r="B763" s="84"/>
      <c r="C763" s="83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 x14ac:dyDescent="0.25">
      <c r="A764" s="84"/>
      <c r="B764" s="84"/>
      <c r="C764" s="83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 x14ac:dyDescent="0.25">
      <c r="A765" s="84"/>
      <c r="B765" s="84"/>
      <c r="C765" s="83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 x14ac:dyDescent="0.25">
      <c r="A766" s="84"/>
      <c r="B766" s="84"/>
      <c r="C766" s="83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 x14ac:dyDescent="0.25">
      <c r="A767" s="84"/>
      <c r="B767" s="84"/>
      <c r="C767" s="83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 x14ac:dyDescent="0.25">
      <c r="A768" s="84"/>
      <c r="B768" s="84"/>
      <c r="C768" s="83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 x14ac:dyDescent="0.25">
      <c r="A769" s="84"/>
      <c r="B769" s="84"/>
      <c r="C769" s="83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 x14ac:dyDescent="0.25">
      <c r="A770" s="84"/>
      <c r="B770" s="84"/>
      <c r="C770" s="83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 x14ac:dyDescent="0.25">
      <c r="A771" s="84"/>
      <c r="B771" s="84"/>
      <c r="C771" s="83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 x14ac:dyDescent="0.25">
      <c r="A772" s="84"/>
      <c r="B772" s="84"/>
      <c r="C772" s="83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 x14ac:dyDescent="0.25">
      <c r="A773" s="84"/>
      <c r="B773" s="84"/>
      <c r="C773" s="83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 x14ac:dyDescent="0.25">
      <c r="A774" s="84"/>
      <c r="B774" s="84"/>
      <c r="C774" s="83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 x14ac:dyDescent="0.25">
      <c r="A775" s="84"/>
      <c r="B775" s="84"/>
      <c r="C775" s="83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 x14ac:dyDescent="0.25">
      <c r="A776" s="84"/>
      <c r="B776" s="84"/>
      <c r="C776" s="83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 x14ac:dyDescent="0.25">
      <c r="A777" s="84"/>
      <c r="B777" s="84"/>
      <c r="C777" s="83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 x14ac:dyDescent="0.25">
      <c r="A778" s="84"/>
      <c r="B778" s="84"/>
      <c r="C778" s="83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 x14ac:dyDescent="0.25">
      <c r="A779" s="84"/>
      <c r="B779" s="84"/>
      <c r="C779" s="83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 x14ac:dyDescent="0.25">
      <c r="A780" s="84"/>
      <c r="B780" s="84"/>
      <c r="C780" s="83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 x14ac:dyDescent="0.25">
      <c r="A781" s="84"/>
      <c r="B781" s="84"/>
      <c r="C781" s="83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 x14ac:dyDescent="0.25">
      <c r="A782" s="84"/>
      <c r="B782" s="84"/>
      <c r="C782" s="83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 x14ac:dyDescent="0.25">
      <c r="A783" s="84"/>
      <c r="B783" s="84"/>
      <c r="C783" s="83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 x14ac:dyDescent="0.25">
      <c r="A784" s="84"/>
      <c r="B784" s="84"/>
      <c r="C784" s="83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 x14ac:dyDescent="0.25">
      <c r="A785" s="84"/>
      <c r="B785" s="84"/>
      <c r="C785" s="83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 x14ac:dyDescent="0.25">
      <c r="A786" s="84"/>
      <c r="B786" s="84"/>
      <c r="C786" s="83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 x14ac:dyDescent="0.25">
      <c r="A787" s="84"/>
      <c r="B787" s="84"/>
      <c r="C787" s="83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 x14ac:dyDescent="0.25">
      <c r="A788" s="84"/>
      <c r="B788" s="84"/>
      <c r="C788" s="83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 x14ac:dyDescent="0.25">
      <c r="A789" s="84"/>
      <c r="B789" s="84"/>
      <c r="C789" s="83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 x14ac:dyDescent="0.25">
      <c r="A790" s="84"/>
      <c r="B790" s="84"/>
      <c r="C790" s="83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 x14ac:dyDescent="0.25">
      <c r="A791" s="84"/>
      <c r="B791" s="84"/>
      <c r="C791" s="83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 x14ac:dyDescent="0.25">
      <c r="A792" s="84"/>
      <c r="B792" s="84"/>
      <c r="C792" s="83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 x14ac:dyDescent="0.25">
      <c r="A793" s="84"/>
      <c r="B793" s="84"/>
      <c r="C793" s="83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 x14ac:dyDescent="0.25">
      <c r="A794" s="84"/>
      <c r="B794" s="84"/>
      <c r="C794" s="83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 x14ac:dyDescent="0.25">
      <c r="A795" s="84"/>
      <c r="B795" s="84"/>
      <c r="C795" s="83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 x14ac:dyDescent="0.25">
      <c r="A796" s="84"/>
      <c r="B796" s="84"/>
      <c r="C796" s="83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 x14ac:dyDescent="0.25">
      <c r="A797" s="84"/>
      <c r="B797" s="84"/>
      <c r="C797" s="83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 x14ac:dyDescent="0.25">
      <c r="A798" s="84"/>
      <c r="B798" s="84"/>
      <c r="C798" s="83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 x14ac:dyDescent="0.25">
      <c r="A799" s="84"/>
      <c r="B799" s="84"/>
      <c r="C799" s="83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 x14ac:dyDescent="0.25">
      <c r="A800" s="84"/>
      <c r="B800" s="84"/>
      <c r="C800" s="83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 x14ac:dyDescent="0.25">
      <c r="A801" s="84"/>
      <c r="B801" s="84"/>
      <c r="C801" s="83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 x14ac:dyDescent="0.25">
      <c r="A802" s="84"/>
      <c r="B802" s="84"/>
      <c r="C802" s="83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 x14ac:dyDescent="0.25">
      <c r="A803" s="84"/>
      <c r="B803" s="84"/>
      <c r="C803" s="83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 x14ac:dyDescent="0.25">
      <c r="A804" s="84"/>
      <c r="B804" s="84"/>
      <c r="C804" s="83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 x14ac:dyDescent="0.25">
      <c r="A805" s="84"/>
      <c r="B805" s="84"/>
      <c r="C805" s="83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 x14ac:dyDescent="0.25">
      <c r="A806" s="84"/>
      <c r="B806" s="84"/>
      <c r="C806" s="83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 x14ac:dyDescent="0.25">
      <c r="A807" s="84"/>
      <c r="B807" s="84"/>
      <c r="C807" s="83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 x14ac:dyDescent="0.25">
      <c r="A808" s="84"/>
      <c r="B808" s="84"/>
      <c r="C808" s="83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 x14ac:dyDescent="0.25">
      <c r="A809" s="84"/>
      <c r="B809" s="84"/>
      <c r="C809" s="83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 x14ac:dyDescent="0.25">
      <c r="A810" s="84"/>
      <c r="B810" s="84"/>
      <c r="C810" s="83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 x14ac:dyDescent="0.25">
      <c r="A811" s="84"/>
      <c r="B811" s="84"/>
      <c r="C811" s="83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 x14ac:dyDescent="0.25">
      <c r="A812" s="84"/>
      <c r="B812" s="84"/>
      <c r="C812" s="83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 x14ac:dyDescent="0.25">
      <c r="A813" s="84"/>
      <c r="B813" s="84"/>
      <c r="C813" s="83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 x14ac:dyDescent="0.25">
      <c r="A814" s="84"/>
      <c r="B814" s="84"/>
      <c r="C814" s="83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 x14ac:dyDescent="0.25">
      <c r="A815" s="84"/>
      <c r="B815" s="84"/>
      <c r="C815" s="83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 x14ac:dyDescent="0.25">
      <c r="A816" s="84"/>
      <c r="B816" s="84"/>
      <c r="C816" s="83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 x14ac:dyDescent="0.25">
      <c r="A817" s="84"/>
      <c r="B817" s="84"/>
      <c r="C817" s="83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 x14ac:dyDescent="0.25">
      <c r="A818" s="84"/>
      <c r="B818" s="84"/>
      <c r="C818" s="83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 x14ac:dyDescent="0.25">
      <c r="A819" s="84"/>
      <c r="B819" s="84"/>
      <c r="C819" s="83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 x14ac:dyDescent="0.25">
      <c r="A820" s="84"/>
      <c r="B820" s="84"/>
      <c r="C820" s="83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 x14ac:dyDescent="0.25">
      <c r="A821" s="84"/>
      <c r="B821" s="84"/>
      <c r="C821" s="83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 x14ac:dyDescent="0.25">
      <c r="A822" s="84"/>
      <c r="B822" s="84"/>
      <c r="C822" s="83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 x14ac:dyDescent="0.25">
      <c r="A823" s="84"/>
      <c r="B823" s="84"/>
      <c r="C823" s="83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 x14ac:dyDescent="0.25">
      <c r="A824" s="84"/>
      <c r="B824" s="84"/>
      <c r="C824" s="83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 x14ac:dyDescent="0.25">
      <c r="A825" s="84"/>
      <c r="B825" s="84"/>
      <c r="C825" s="83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 x14ac:dyDescent="0.25">
      <c r="A826" s="84"/>
      <c r="B826" s="84"/>
      <c r="C826" s="83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 x14ac:dyDescent="0.25">
      <c r="A827" s="84"/>
      <c r="B827" s="84"/>
      <c r="C827" s="83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 x14ac:dyDescent="0.25">
      <c r="A828" s="84"/>
      <c r="B828" s="84"/>
      <c r="C828" s="83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 x14ac:dyDescent="0.25">
      <c r="A829" s="84"/>
      <c r="B829" s="84"/>
      <c r="C829" s="83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 x14ac:dyDescent="0.25">
      <c r="A830" s="84"/>
      <c r="B830" s="84"/>
      <c r="C830" s="83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 x14ac:dyDescent="0.25">
      <c r="A831" s="84"/>
      <c r="B831" s="84"/>
      <c r="C831" s="83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 x14ac:dyDescent="0.25">
      <c r="A832" s="84"/>
      <c r="B832" s="84"/>
      <c r="C832" s="83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 x14ac:dyDescent="0.25">
      <c r="A833" s="84"/>
      <c r="B833" s="84"/>
      <c r="C833" s="83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 x14ac:dyDescent="0.25">
      <c r="A834" s="84"/>
      <c r="B834" s="84"/>
      <c r="C834" s="83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 x14ac:dyDescent="0.25">
      <c r="A835" s="84"/>
      <c r="B835" s="84"/>
      <c r="C835" s="83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 x14ac:dyDescent="0.25">
      <c r="A836" s="84"/>
      <c r="B836" s="84"/>
      <c r="C836" s="83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 x14ac:dyDescent="0.25">
      <c r="A837" s="84"/>
      <c r="B837" s="84"/>
      <c r="C837" s="83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 x14ac:dyDescent="0.25">
      <c r="A838" s="84"/>
      <c r="B838" s="84"/>
      <c r="C838" s="83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 x14ac:dyDescent="0.25">
      <c r="A839" s="84"/>
      <c r="B839" s="84"/>
      <c r="C839" s="83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 x14ac:dyDescent="0.25">
      <c r="A840" s="84"/>
      <c r="B840" s="84"/>
      <c r="C840" s="83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 x14ac:dyDescent="0.25">
      <c r="A841" s="84"/>
      <c r="B841" s="84"/>
      <c r="C841" s="83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 x14ac:dyDescent="0.25">
      <c r="A842" s="84"/>
      <c r="B842" s="84"/>
      <c r="C842" s="83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 x14ac:dyDescent="0.25">
      <c r="A843" s="84"/>
      <c r="B843" s="84"/>
      <c r="C843" s="83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 x14ac:dyDescent="0.25">
      <c r="A844" s="84"/>
      <c r="B844" s="84"/>
      <c r="C844" s="83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 x14ac:dyDescent="0.25">
      <c r="A845" s="84"/>
      <c r="B845" s="84"/>
      <c r="C845" s="83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 x14ac:dyDescent="0.25">
      <c r="A846" s="84"/>
      <c r="B846" s="84"/>
      <c r="C846" s="83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 x14ac:dyDescent="0.25">
      <c r="A847" s="84"/>
      <c r="B847" s="84"/>
      <c r="C847" s="83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 x14ac:dyDescent="0.25">
      <c r="A848" s="84"/>
      <c r="B848" s="84"/>
      <c r="C848" s="83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 x14ac:dyDescent="0.25">
      <c r="A849" s="84"/>
      <c r="B849" s="84"/>
      <c r="C849" s="83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 x14ac:dyDescent="0.25">
      <c r="A850" s="84"/>
      <c r="B850" s="84"/>
      <c r="C850" s="83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 x14ac:dyDescent="0.25">
      <c r="A851" s="84"/>
      <c r="B851" s="84"/>
      <c r="C851" s="83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 x14ac:dyDescent="0.25">
      <c r="A852" s="84"/>
      <c r="B852" s="84"/>
      <c r="C852" s="83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 x14ac:dyDescent="0.25">
      <c r="A853" s="84"/>
      <c r="B853" s="84"/>
      <c r="C853" s="83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 x14ac:dyDescent="0.25">
      <c r="A854" s="84"/>
      <c r="B854" s="84"/>
      <c r="C854" s="83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 x14ac:dyDescent="0.25">
      <c r="A855" s="84"/>
      <c r="B855" s="84"/>
      <c r="C855" s="83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 x14ac:dyDescent="0.25">
      <c r="A856" s="84"/>
      <c r="B856" s="84"/>
      <c r="C856" s="83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 x14ac:dyDescent="0.25">
      <c r="A857" s="84"/>
      <c r="B857" s="84"/>
      <c r="C857" s="83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 x14ac:dyDescent="0.25">
      <c r="A858" s="84"/>
      <c r="B858" s="84"/>
      <c r="C858" s="83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 x14ac:dyDescent="0.25">
      <c r="A859" s="84"/>
      <c r="B859" s="84"/>
      <c r="C859" s="83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 x14ac:dyDescent="0.25">
      <c r="A860" s="84"/>
      <c r="B860" s="84"/>
      <c r="C860" s="83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 x14ac:dyDescent="0.25">
      <c r="A861" s="84"/>
      <c r="B861" s="84"/>
      <c r="C861" s="83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 x14ac:dyDescent="0.25">
      <c r="A862" s="84"/>
      <c r="B862" s="84"/>
      <c r="C862" s="83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 x14ac:dyDescent="0.25">
      <c r="A863" s="84"/>
      <c r="B863" s="84"/>
      <c r="C863" s="83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 x14ac:dyDescent="0.25">
      <c r="A864" s="84"/>
      <c r="B864" s="84"/>
      <c r="C864" s="83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 x14ac:dyDescent="0.25">
      <c r="A865" s="84"/>
      <c r="B865" s="84"/>
      <c r="C865" s="83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 x14ac:dyDescent="0.25">
      <c r="A866" s="84"/>
      <c r="B866" s="84"/>
      <c r="C866" s="83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 x14ac:dyDescent="0.25">
      <c r="A867" s="84"/>
      <c r="B867" s="84"/>
      <c r="C867" s="83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 x14ac:dyDescent="0.25">
      <c r="A868" s="84"/>
      <c r="B868" s="84"/>
      <c r="C868" s="83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 x14ac:dyDescent="0.25">
      <c r="A869" s="84"/>
      <c r="B869" s="84"/>
      <c r="C869" s="83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 x14ac:dyDescent="0.25">
      <c r="A870" s="84"/>
      <c r="B870" s="84"/>
      <c r="C870" s="83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 x14ac:dyDescent="0.25">
      <c r="A871" s="84"/>
      <c r="B871" s="84"/>
      <c r="C871" s="83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 x14ac:dyDescent="0.25">
      <c r="A872" s="84"/>
      <c r="B872" s="84"/>
      <c r="C872" s="83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 x14ac:dyDescent="0.25">
      <c r="A873" s="84"/>
      <c r="B873" s="84"/>
      <c r="C873" s="83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 x14ac:dyDescent="0.25">
      <c r="A874" s="84"/>
      <c r="B874" s="84"/>
      <c r="C874" s="83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 x14ac:dyDescent="0.25">
      <c r="A875" s="84"/>
      <c r="B875" s="84"/>
      <c r="C875" s="83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 x14ac:dyDescent="0.25">
      <c r="A876" s="84"/>
      <c r="B876" s="84"/>
      <c r="C876" s="83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 x14ac:dyDescent="0.25">
      <c r="A877" s="84"/>
      <c r="B877" s="84"/>
      <c r="C877" s="83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 x14ac:dyDescent="0.25">
      <c r="A878" s="84"/>
      <c r="B878" s="84"/>
      <c r="C878" s="83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 x14ac:dyDescent="0.25">
      <c r="A879" s="84"/>
      <c r="B879" s="84"/>
      <c r="C879" s="83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 x14ac:dyDescent="0.25">
      <c r="A880" s="84"/>
      <c r="B880" s="84"/>
      <c r="C880" s="83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 x14ac:dyDescent="0.25">
      <c r="A881" s="84"/>
      <c r="B881" s="84"/>
      <c r="C881" s="83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 x14ac:dyDescent="0.25">
      <c r="A882" s="84"/>
      <c r="B882" s="84"/>
      <c r="C882" s="83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 x14ac:dyDescent="0.25">
      <c r="A883" s="84"/>
      <c r="B883" s="84"/>
      <c r="C883" s="83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 x14ac:dyDescent="0.25">
      <c r="A884" s="84"/>
      <c r="B884" s="84"/>
      <c r="C884" s="83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 x14ac:dyDescent="0.25">
      <c r="A885" s="84"/>
      <c r="B885" s="84"/>
      <c r="C885" s="83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 x14ac:dyDescent="0.25">
      <c r="A886" s="84"/>
      <c r="B886" s="84"/>
      <c r="C886" s="83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 x14ac:dyDescent="0.25">
      <c r="A887" s="84"/>
      <c r="B887" s="84"/>
      <c r="C887" s="83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 x14ac:dyDescent="0.25">
      <c r="A888" s="84"/>
      <c r="B888" s="84"/>
      <c r="C888" s="83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 x14ac:dyDescent="0.25">
      <c r="A889" s="84"/>
      <c r="B889" s="84"/>
      <c r="C889" s="83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 x14ac:dyDescent="0.25">
      <c r="A890" s="84"/>
      <c r="B890" s="84"/>
      <c r="C890" s="83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 x14ac:dyDescent="0.25">
      <c r="A891" s="84"/>
      <c r="B891" s="84"/>
      <c r="C891" s="83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 x14ac:dyDescent="0.25">
      <c r="A892" s="84"/>
      <c r="B892" s="84"/>
      <c r="C892" s="83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 x14ac:dyDescent="0.25">
      <c r="A893" s="84"/>
      <c r="B893" s="84"/>
      <c r="C893" s="83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 x14ac:dyDescent="0.25">
      <c r="A894" s="84"/>
      <c r="B894" s="84"/>
      <c r="C894" s="83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 x14ac:dyDescent="0.25">
      <c r="A895" s="84"/>
      <c r="B895" s="84"/>
      <c r="C895" s="83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 x14ac:dyDescent="0.25">
      <c r="A896" s="84"/>
      <c r="B896" s="84"/>
      <c r="C896" s="83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 x14ac:dyDescent="0.25">
      <c r="A897" s="84"/>
      <c r="B897" s="84"/>
      <c r="C897" s="83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 x14ac:dyDescent="0.25">
      <c r="A898" s="84"/>
      <c r="B898" s="84"/>
      <c r="C898" s="83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 x14ac:dyDescent="0.25">
      <c r="A899" s="84"/>
      <c r="B899" s="84"/>
      <c r="C899" s="83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 x14ac:dyDescent="0.25">
      <c r="A900" s="84"/>
      <c r="B900" s="84"/>
      <c r="C900" s="83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 x14ac:dyDescent="0.25">
      <c r="A901" s="84"/>
      <c r="B901" s="84"/>
      <c r="C901" s="83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 x14ac:dyDescent="0.25">
      <c r="A902" s="84"/>
      <c r="B902" s="84"/>
      <c r="C902" s="83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 x14ac:dyDescent="0.25">
      <c r="A903" s="84"/>
      <c r="B903" s="84"/>
      <c r="C903" s="83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 x14ac:dyDescent="0.25">
      <c r="A904" s="84"/>
      <c r="B904" s="84"/>
      <c r="C904" s="83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 x14ac:dyDescent="0.25">
      <c r="A905" s="84"/>
      <c r="B905" s="84"/>
      <c r="C905" s="83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 x14ac:dyDescent="0.25">
      <c r="A906" s="84"/>
      <c r="B906" s="84"/>
      <c r="C906" s="83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 x14ac:dyDescent="0.25">
      <c r="A907" s="84"/>
      <c r="B907" s="84"/>
      <c r="C907" s="83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 x14ac:dyDescent="0.25">
      <c r="A908" s="84"/>
      <c r="B908" s="84"/>
      <c r="C908" s="83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 x14ac:dyDescent="0.25">
      <c r="A909" s="84"/>
      <c r="B909" s="84"/>
      <c r="C909" s="83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 x14ac:dyDescent="0.25">
      <c r="A910" s="84"/>
      <c r="B910" s="84"/>
      <c r="C910" s="83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" customHeight="1" x14ac:dyDescent="0.25">
      <c r="A911" s="84"/>
      <c r="B911" s="84"/>
      <c r="C911" s="83"/>
      <c r="D911" s="46"/>
      <c r="E911" s="46"/>
    </row>
    <row r="912" spans="1:26" ht="15" customHeight="1" x14ac:dyDescent="0.25">
      <c r="A912" s="84"/>
      <c r="B912" s="84"/>
      <c r="C912" s="83"/>
      <c r="D912" s="46"/>
      <c r="E912" s="46"/>
    </row>
    <row r="913" spans="1:5" ht="15" customHeight="1" x14ac:dyDescent="0.25">
      <c r="A913" s="84"/>
      <c r="B913" s="84"/>
      <c r="C913" s="83"/>
      <c r="D913" s="46"/>
      <c r="E913" s="46"/>
    </row>
    <row r="914" spans="1:5" ht="15" customHeight="1" x14ac:dyDescent="0.25">
      <c r="A914" s="84"/>
      <c r="B914" s="84"/>
      <c r="C914" s="83"/>
      <c r="D914" s="46"/>
      <c r="E914" s="46"/>
    </row>
    <row r="915" spans="1:5" ht="15" customHeight="1" x14ac:dyDescent="0.25">
      <c r="A915" s="84"/>
      <c r="B915" s="84"/>
      <c r="C915" s="83"/>
      <c r="D915" s="46"/>
      <c r="E915" s="46"/>
    </row>
    <row r="916" spans="1:5" ht="15" customHeight="1" x14ac:dyDescent="0.25">
      <c r="A916" s="84"/>
      <c r="B916" s="84"/>
      <c r="C916" s="83"/>
      <c r="D916" s="46"/>
      <c r="E916" s="46"/>
    </row>
    <row r="917" spans="1:5" ht="15" customHeight="1" x14ac:dyDescent="0.25">
      <c r="A917" s="84"/>
      <c r="B917" s="84"/>
      <c r="C917" s="83"/>
      <c r="D917" s="46"/>
      <c r="E917" s="46"/>
    </row>
    <row r="918" spans="1:5" ht="15" customHeight="1" x14ac:dyDescent="0.25">
      <c r="A918" s="84"/>
      <c r="B918" s="84"/>
      <c r="C918" s="83"/>
      <c r="D918" s="46"/>
      <c r="E918" s="46"/>
    </row>
    <row r="919" spans="1:5" ht="15" customHeight="1" x14ac:dyDescent="0.25">
      <c r="A919" s="84"/>
      <c r="B919" s="84"/>
      <c r="C919" s="83"/>
      <c r="D919" s="46"/>
      <c r="E919" s="46"/>
    </row>
    <row r="920" spans="1:5" ht="15" customHeight="1" x14ac:dyDescent="0.25">
      <c r="A920" s="84"/>
      <c r="B920" s="84"/>
      <c r="C920" s="83"/>
      <c r="D920" s="46"/>
      <c r="E920" s="46"/>
    </row>
    <row r="921" spans="1:5" ht="15" customHeight="1" x14ac:dyDescent="0.25">
      <c r="A921" s="84"/>
      <c r="B921" s="84"/>
      <c r="C921" s="83"/>
      <c r="D921" s="46"/>
      <c r="E921" s="46"/>
    </row>
    <row r="922" spans="1:5" ht="15" customHeight="1" x14ac:dyDescent="0.25">
      <c r="A922" s="84"/>
      <c r="B922" s="84"/>
      <c r="C922" s="83"/>
      <c r="D922" s="46"/>
      <c r="E922" s="46"/>
    </row>
    <row r="923" spans="1:5" ht="15" customHeight="1" x14ac:dyDescent="0.25">
      <c r="A923" s="84"/>
      <c r="B923" s="84"/>
      <c r="C923" s="83"/>
      <c r="D923" s="46"/>
      <c r="E923" s="46"/>
    </row>
    <row r="924" spans="1:5" ht="15" customHeight="1" x14ac:dyDescent="0.25">
      <c r="A924" s="84"/>
      <c r="B924" s="84"/>
      <c r="C924" s="83"/>
      <c r="D924" s="46"/>
      <c r="E924" s="46"/>
    </row>
    <row r="925" spans="1:5" ht="15" customHeight="1" x14ac:dyDescent="0.25">
      <c r="A925" s="84"/>
      <c r="B925" s="84"/>
      <c r="C925" s="83"/>
      <c r="D925" s="46"/>
      <c r="E925" s="46"/>
    </row>
    <row r="926" spans="1:5" ht="15" customHeight="1" x14ac:dyDescent="0.25">
      <c r="A926" s="84"/>
      <c r="B926" s="84"/>
      <c r="C926" s="83"/>
      <c r="D926" s="46"/>
      <c r="E926" s="46"/>
    </row>
    <row r="927" spans="1:5" ht="15" customHeight="1" x14ac:dyDescent="0.25">
      <c r="A927" s="84"/>
      <c r="B927" s="84"/>
      <c r="C927" s="83"/>
      <c r="D927" s="46"/>
      <c r="E927" s="46"/>
    </row>
    <row r="928" spans="1:5" ht="15" customHeight="1" x14ac:dyDescent="0.25">
      <c r="A928" s="84"/>
      <c r="B928" s="84"/>
      <c r="C928" s="83"/>
      <c r="D928" s="46"/>
      <c r="E928" s="46"/>
    </row>
    <row r="929" spans="1:5" ht="15" customHeight="1" x14ac:dyDescent="0.25">
      <c r="A929" s="84"/>
      <c r="B929" s="84"/>
      <c r="C929" s="83"/>
      <c r="D929" s="46"/>
      <c r="E929" s="46"/>
    </row>
    <row r="930" spans="1:5" ht="15" customHeight="1" x14ac:dyDescent="0.25">
      <c r="A930" s="84"/>
      <c r="B930" s="84"/>
      <c r="C930" s="83"/>
      <c r="D930" s="46"/>
      <c r="E930" s="46"/>
    </row>
    <row r="931" spans="1:5" ht="15" customHeight="1" x14ac:dyDescent="0.25">
      <c r="A931" s="84"/>
      <c r="B931" s="84"/>
      <c r="C931" s="83"/>
      <c r="D931" s="46"/>
      <c r="E931" s="46"/>
    </row>
    <row r="932" spans="1:5" ht="15" customHeight="1" x14ac:dyDescent="0.25">
      <c r="A932" s="84"/>
      <c r="B932" s="84"/>
      <c r="C932" s="83"/>
      <c r="D932" s="46"/>
      <c r="E932" s="46"/>
    </row>
    <row r="933" spans="1:5" ht="15" customHeight="1" x14ac:dyDescent="0.25">
      <c r="A933" s="84"/>
      <c r="B933" s="84"/>
      <c r="C933" s="83"/>
      <c r="D933" s="46"/>
      <c r="E933" s="46"/>
    </row>
    <row r="934" spans="1:5" ht="15" customHeight="1" x14ac:dyDescent="0.25">
      <c r="A934" s="84"/>
      <c r="B934" s="84"/>
      <c r="C934" s="83"/>
      <c r="D934" s="46"/>
      <c r="E934" s="46"/>
    </row>
    <row r="935" spans="1:5" ht="15" customHeight="1" x14ac:dyDescent="0.25">
      <c r="A935" s="84"/>
      <c r="B935" s="84"/>
      <c r="C935" s="83"/>
      <c r="D935" s="46"/>
      <c r="E935" s="46"/>
    </row>
    <row r="936" spans="1:5" ht="15" customHeight="1" x14ac:dyDescent="0.25">
      <c r="A936" s="84"/>
      <c r="B936" s="84"/>
      <c r="C936" s="83"/>
      <c r="D936" s="46"/>
      <c r="E936" s="46"/>
    </row>
    <row r="937" spans="1:5" ht="15" customHeight="1" x14ac:dyDescent="0.25">
      <c r="A937" s="84"/>
      <c r="B937" s="84"/>
      <c r="C937" s="83"/>
      <c r="D937" s="46"/>
      <c r="E937" s="46"/>
    </row>
    <row r="938" spans="1:5" ht="15" customHeight="1" x14ac:dyDescent="0.25">
      <c r="A938" s="84"/>
      <c r="B938" s="84"/>
      <c r="C938" s="83"/>
      <c r="D938" s="46"/>
      <c r="E938" s="46"/>
    </row>
    <row r="939" spans="1:5" ht="15" customHeight="1" x14ac:dyDescent="0.25">
      <c r="A939" s="84"/>
      <c r="B939" s="84"/>
      <c r="C939" s="83"/>
      <c r="D939" s="46"/>
      <c r="E939" s="46"/>
    </row>
    <row r="940" spans="1:5" ht="15" customHeight="1" x14ac:dyDescent="0.25">
      <c r="A940" s="84"/>
      <c r="B940" s="84"/>
      <c r="C940" s="83"/>
      <c r="D940" s="46"/>
      <c r="E940" s="46"/>
    </row>
    <row r="941" spans="1:5" ht="15" customHeight="1" x14ac:dyDescent="0.25">
      <c r="A941" s="84"/>
      <c r="B941" s="84"/>
      <c r="C941" s="83"/>
      <c r="D941" s="46"/>
      <c r="E941" s="46"/>
    </row>
  </sheetData>
  <mergeCells count="8">
    <mergeCell ref="I6:J7"/>
    <mergeCell ref="I8:J8"/>
    <mergeCell ref="A1:B4"/>
    <mergeCell ref="C1:E1"/>
    <mergeCell ref="C2:E2"/>
    <mergeCell ref="C3:E3"/>
    <mergeCell ref="I3:J5"/>
    <mergeCell ref="C4:E4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0BEA-E4D9-4ECC-960D-19242EBF1BA5}">
  <sheetPr>
    <tabColor rgb="FFFF0000"/>
  </sheetPr>
  <dimension ref="A1:Z989"/>
  <sheetViews>
    <sheetView topLeftCell="A33" workbookViewId="0">
      <selection activeCell="I48" sqref="I48"/>
    </sheetView>
  </sheetViews>
  <sheetFormatPr baseColWidth="10" defaultColWidth="14.42578125" defaultRowHeight="15" customHeight="1" x14ac:dyDescent="0.25"/>
  <cols>
    <col min="1" max="1" width="7.5703125" customWidth="1"/>
    <col min="2" max="2" width="42.5703125" style="1" customWidth="1"/>
    <col min="3" max="3" width="8.7109375" customWidth="1"/>
    <col min="4" max="4" width="19" customWidth="1"/>
    <col min="5" max="5" width="12.5703125" customWidth="1"/>
    <col min="6" max="6" width="11.42578125" customWidth="1"/>
    <col min="7" max="26" width="10.7109375" customWidth="1"/>
  </cols>
  <sheetData>
    <row r="1" spans="1:26" ht="15" customHeight="1" x14ac:dyDescent="0.25">
      <c r="A1" s="38"/>
      <c r="B1" s="37"/>
      <c r="C1" s="31" t="s">
        <v>55</v>
      </c>
      <c r="D1" s="30"/>
      <c r="E1" s="3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36"/>
      <c r="B2" s="35"/>
      <c r="C2" s="31" t="s">
        <v>54</v>
      </c>
      <c r="D2" s="30"/>
      <c r="E2" s="3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5">
      <c r="A3" s="36"/>
      <c r="B3" s="35"/>
      <c r="C3" s="34">
        <v>44802</v>
      </c>
      <c r="D3" s="30"/>
      <c r="E3" s="3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25">
      <c r="A4" s="33"/>
      <c r="B4" s="32"/>
      <c r="C4" s="31" t="s">
        <v>53</v>
      </c>
      <c r="D4" s="30"/>
      <c r="E4" s="3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12" t="s">
        <v>56</v>
      </c>
      <c r="B5" s="11"/>
      <c r="C5" s="21" t="s">
        <v>3</v>
      </c>
      <c r="D5" s="20" t="s">
        <v>2</v>
      </c>
      <c r="E5" s="9" t="s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7">
        <v>1</v>
      </c>
      <c r="B6" s="18" t="str">
        <f>+'[1]ESTANDAR CAMPO'!A1</f>
        <v>CAMPESINO</v>
      </c>
      <c r="C6" s="17">
        <f>+'[1]ESTANDAR CAMPO'!F14</f>
        <v>10960.311333333333</v>
      </c>
      <c r="D6" s="14">
        <v>33000</v>
      </c>
      <c r="E6" s="29">
        <f t="shared" ref="E6:E10" si="0">+C6/D6</f>
        <v>0.33213064646464646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7">
        <f>1+A6</f>
        <v>2</v>
      </c>
      <c r="B7" s="6" t="s">
        <v>57</v>
      </c>
      <c r="C7" s="17">
        <f>+'[1]ESTANDAR CAMPO'!F40</f>
        <v>5599.4441666666662</v>
      </c>
      <c r="D7" s="14">
        <v>24000</v>
      </c>
      <c r="E7" s="29">
        <f t="shared" si="0"/>
        <v>0.23331017361111109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7">
        <f t="shared" ref="A8:A15" si="1">1+A7</f>
        <v>3</v>
      </c>
      <c r="B8" s="6" t="s">
        <v>58</v>
      </c>
      <c r="C8" s="17">
        <f>+'[1]ESTANDAR CAMPO'!F66</f>
        <v>10381.881666666666</v>
      </c>
      <c r="D8" s="14">
        <v>24000</v>
      </c>
      <c r="E8" s="29">
        <f t="shared" si="0"/>
        <v>0.43257840277777776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7">
        <f t="shared" si="1"/>
        <v>4</v>
      </c>
      <c r="B9" s="6" t="s">
        <v>59</v>
      </c>
      <c r="C9" s="17">
        <f>+'[1]ESTANDAR CAMPO'!F92</f>
        <v>6606.1866666666665</v>
      </c>
      <c r="D9" s="14">
        <v>25000</v>
      </c>
      <c r="E9" s="29">
        <f t="shared" si="0"/>
        <v>0.26424746666666665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7">
        <f t="shared" si="1"/>
        <v>5</v>
      </c>
      <c r="B10" s="18" t="s">
        <v>60</v>
      </c>
      <c r="C10" s="17">
        <f>+'[1]ESTANDAR CAMPO'!F92</f>
        <v>6606.1866666666665</v>
      </c>
      <c r="D10" s="14">
        <v>28000</v>
      </c>
      <c r="E10" s="29">
        <f t="shared" si="0"/>
        <v>0.23593523809523809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7"/>
      <c r="B11" s="18"/>
      <c r="C11" s="17"/>
      <c r="D11" s="14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28" t="s">
        <v>61</v>
      </c>
      <c r="B12" s="27"/>
      <c r="C12" s="21" t="s">
        <v>3</v>
      </c>
      <c r="D12" s="20" t="s">
        <v>27</v>
      </c>
      <c r="E12" s="9" t="s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7">
        <v>6</v>
      </c>
      <c r="B13" s="6" t="s">
        <v>62</v>
      </c>
      <c r="C13" s="17">
        <f>+'[1]ESTANDAR SALUDABLE'!F11</f>
        <v>8428.4</v>
      </c>
      <c r="D13" s="14">
        <v>20000</v>
      </c>
      <c r="E13" s="29">
        <f t="shared" ref="E13:E15" si="2">+C13/D13</f>
        <v>0.42141999999999996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7">
        <f t="shared" si="1"/>
        <v>7</v>
      </c>
      <c r="B14" s="6" t="s">
        <v>63</v>
      </c>
      <c r="C14" s="17">
        <f>+'[1]ESTANDAR SALUDABLE'!F34</f>
        <v>12612.754999999999</v>
      </c>
      <c r="D14" s="14">
        <v>20000</v>
      </c>
      <c r="E14" s="29">
        <f t="shared" si="2"/>
        <v>0.63063775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7">
        <f t="shared" si="1"/>
        <v>8</v>
      </c>
      <c r="B15" s="6" t="s">
        <v>64</v>
      </c>
      <c r="C15" s="17">
        <f>+'[1]ESTANDAR SALUDABLE'!F53</f>
        <v>5247</v>
      </c>
      <c r="D15" s="14">
        <v>15000</v>
      </c>
      <c r="E15" s="29">
        <f t="shared" si="2"/>
        <v>0.3498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7"/>
      <c r="B16" s="6"/>
      <c r="C16" s="17"/>
      <c r="D16" s="14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23" t="s">
        <v>65</v>
      </c>
      <c r="B17" s="22"/>
      <c r="C17" s="21" t="s">
        <v>3</v>
      </c>
      <c r="D17" s="20" t="s">
        <v>27</v>
      </c>
      <c r="E17" s="9" t="s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7">
        <v>9</v>
      </c>
      <c r="B18" s="25" t="s">
        <v>66</v>
      </c>
      <c r="C18" s="17">
        <f>+'[1]ESTANDAR ENTRADAS'!F10</f>
        <v>8117.3730564373891</v>
      </c>
      <c r="D18" s="14">
        <v>14000</v>
      </c>
      <c r="E18" s="24">
        <f>+C18/D18</f>
        <v>0.57981236117409918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7">
        <f>1+A18</f>
        <v>10</v>
      </c>
      <c r="B19" s="18" t="s">
        <v>67</v>
      </c>
      <c r="C19" s="17">
        <f>+'[1]ESTANDAR ENTRADAS'!F31</f>
        <v>4219.1000000000004</v>
      </c>
      <c r="D19" s="14">
        <v>20000</v>
      </c>
      <c r="E19" s="24">
        <f t="shared" ref="E19:E20" si="3">+C19/D19</f>
        <v>0.21095500000000003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7">
        <f t="shared" ref="A20" si="4">1+A19</f>
        <v>11</v>
      </c>
      <c r="B20" s="18" t="s">
        <v>68</v>
      </c>
      <c r="C20" s="17">
        <f>+'[1]ESTANDAR ENTRADAS'!F58</f>
        <v>20268.461499999998</v>
      </c>
      <c r="D20" s="14">
        <v>28000</v>
      </c>
      <c r="E20" s="24">
        <f t="shared" si="3"/>
        <v>0.72387362499999997</v>
      </c>
      <c r="F20" s="2" t="s">
        <v>69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7"/>
      <c r="B21" s="18"/>
      <c r="C21" s="17"/>
      <c r="D21" s="14"/>
      <c r="E21" s="2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3" t="s">
        <v>70</v>
      </c>
      <c r="B22" s="22"/>
      <c r="C22" s="21" t="s">
        <v>3</v>
      </c>
      <c r="D22" s="20" t="s">
        <v>27</v>
      </c>
      <c r="E22" s="9" t="s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7">
        <v>12</v>
      </c>
      <c r="B23" s="18" t="s">
        <v>71</v>
      </c>
      <c r="C23" s="17">
        <f>+'[1]AVES DEL CORRAL'!F12</f>
        <v>13380.574357993748</v>
      </c>
      <c r="D23" s="14">
        <v>30000</v>
      </c>
      <c r="E23" s="24">
        <f>+C23/D23</f>
        <v>0.44601914526645825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7">
        <f>1+A23</f>
        <v>13</v>
      </c>
      <c r="B24" s="18" t="s">
        <v>72</v>
      </c>
      <c r="C24" s="17">
        <f>+'[1]AVES DEL CORRAL'!F37</f>
        <v>14881.543889770723</v>
      </c>
      <c r="D24" s="14">
        <v>38000</v>
      </c>
      <c r="E24" s="24">
        <f t="shared" ref="E24:E26" si="5">+C24/D24</f>
        <v>0.39161957604659797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7">
        <f t="shared" ref="A25:A26" si="6">1+A24</f>
        <v>14</v>
      </c>
      <c r="B25" s="18" t="s">
        <v>73</v>
      </c>
      <c r="C25" s="17">
        <f>+'[1]AVES DEL CORRAL'!F60</f>
        <v>13139.214357993747</v>
      </c>
      <c r="D25" s="14">
        <v>34000</v>
      </c>
      <c r="E25" s="24">
        <f t="shared" si="5"/>
        <v>0.38644748111746313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7">
        <f t="shared" si="6"/>
        <v>15</v>
      </c>
      <c r="B26" s="19" t="s">
        <v>74</v>
      </c>
      <c r="C26" s="17">
        <f>+'[1]AVES DEL CORRAL'!F84</f>
        <v>16639.606993219</v>
      </c>
      <c r="D26" s="14">
        <v>38000</v>
      </c>
      <c r="E26" s="24">
        <f t="shared" si="5"/>
        <v>0.43788439455839473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7"/>
      <c r="B27" s="18"/>
      <c r="C27" s="17"/>
      <c r="D27" s="14"/>
      <c r="E27" s="1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16" t="s">
        <v>24</v>
      </c>
      <c r="B28" s="15"/>
      <c r="C28" s="10" t="s">
        <v>3</v>
      </c>
      <c r="D28" s="10" t="s">
        <v>2</v>
      </c>
      <c r="E28" s="9" t="s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7">
        <v>16</v>
      </c>
      <c r="B29" s="6" t="s">
        <v>23</v>
      </c>
      <c r="C29" s="14">
        <f>+'[1]SABORES DE CERDO'!F15</f>
        <v>15004.538999999999</v>
      </c>
      <c r="D29" s="14">
        <v>40000</v>
      </c>
      <c r="E29" s="39">
        <v>0.38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7"/>
      <c r="B30" s="6"/>
      <c r="C30" s="14"/>
      <c r="D30" s="14"/>
      <c r="E30" s="1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12" t="s">
        <v>22</v>
      </c>
      <c r="B31" s="11"/>
      <c r="C31" s="10" t="s">
        <v>3</v>
      </c>
      <c r="D31" s="10" t="s">
        <v>2</v>
      </c>
      <c r="E31" s="9" t="s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7">
        <v>17</v>
      </c>
      <c r="B32" s="6" t="s">
        <v>21</v>
      </c>
      <c r="C32" s="14">
        <f>+'[1]TESOROS DEL RIO'!F18</f>
        <v>16181.877796590239</v>
      </c>
      <c r="D32" s="14">
        <v>38000</v>
      </c>
      <c r="E32" s="24">
        <f>+C32/D32</f>
        <v>0.42583888938395364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7">
        <f t="shared" ref="A33:A38" si="7">+A32+1</f>
        <v>18</v>
      </c>
      <c r="B33" s="6" t="s">
        <v>20</v>
      </c>
      <c r="C33" s="14">
        <f>+'[1]TESOROS DEL RIO'!F44</f>
        <v>17423.27311287478</v>
      </c>
      <c r="D33" s="14">
        <v>39000</v>
      </c>
      <c r="E33" s="24">
        <f t="shared" ref="E33:E38" si="8">+C33/D33</f>
        <v>0.44675059263781486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7">
        <f t="shared" si="7"/>
        <v>19</v>
      </c>
      <c r="B34" s="6" t="s">
        <v>19</v>
      </c>
      <c r="C34" s="14">
        <f>+'[1]TESOROS DEL RIO'!F70</f>
        <v>19572.272159885666</v>
      </c>
      <c r="D34" s="14">
        <v>42000</v>
      </c>
      <c r="E34" s="24">
        <f t="shared" si="8"/>
        <v>0.46600647999727779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7">
        <f t="shared" si="7"/>
        <v>20</v>
      </c>
      <c r="B35" s="6" t="s">
        <v>18</v>
      </c>
      <c r="C35" s="14">
        <f>+'[1]TESOROS DEL RIO'!F98</f>
        <v>19152.59267241379</v>
      </c>
      <c r="D35" s="14">
        <v>40000</v>
      </c>
      <c r="E35" s="24">
        <f t="shared" si="8"/>
        <v>0.47881481681034477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7">
        <f t="shared" si="7"/>
        <v>21</v>
      </c>
      <c r="B36" s="6" t="s">
        <v>17</v>
      </c>
      <c r="C36" s="14">
        <f>+'[1]TESOROS DEL RIO'!F126</f>
        <v>20528.19217241379</v>
      </c>
      <c r="D36" s="14">
        <v>43000</v>
      </c>
      <c r="E36" s="24">
        <f t="shared" si="8"/>
        <v>0.47739981796311137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7">
        <f t="shared" si="7"/>
        <v>22</v>
      </c>
      <c r="B37" s="6" t="s">
        <v>16</v>
      </c>
      <c r="C37" s="14">
        <f>+'[1]TESOROS DEL RIO'!F155</f>
        <v>22267.545505747126</v>
      </c>
      <c r="D37" s="14">
        <v>45000</v>
      </c>
      <c r="E37" s="24">
        <f t="shared" si="8"/>
        <v>0.49483434457215836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7">
        <f t="shared" si="7"/>
        <v>23</v>
      </c>
      <c r="B38" s="6" t="s">
        <v>15</v>
      </c>
      <c r="C38" s="14">
        <f>+'[1]TESOROS DEL RIO'!F185</f>
        <v>22889.142172413791</v>
      </c>
      <c r="D38" s="14">
        <v>45000</v>
      </c>
      <c r="E38" s="24">
        <f t="shared" si="8"/>
        <v>0.50864760383141761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7"/>
      <c r="B39" s="6"/>
      <c r="C39" s="14"/>
      <c r="D39" s="14"/>
      <c r="E39" s="1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12" t="s">
        <v>14</v>
      </c>
      <c r="B40" s="11"/>
      <c r="C40" s="10" t="s">
        <v>3</v>
      </c>
      <c r="D40" s="10" t="s">
        <v>2</v>
      </c>
      <c r="E40" s="9" t="s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7">
        <v>24</v>
      </c>
      <c r="B41" s="6" t="s">
        <v>13</v>
      </c>
      <c r="C41" s="14">
        <f>+'[1]CARNE DEL CORRAL'!F15</f>
        <v>20555.530147467434</v>
      </c>
      <c r="D41" s="14">
        <v>43000</v>
      </c>
      <c r="E41" s="24">
        <f>+C41/D41</f>
        <v>0.47803558482482406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7">
        <f t="shared" ref="A42:A46" si="9">+A41+1</f>
        <v>25</v>
      </c>
      <c r="B42" s="6" t="s">
        <v>12</v>
      </c>
      <c r="C42" s="14">
        <f>+'[1]CARNE DEL CORRAL'!F40</f>
        <v>22321.765147467435</v>
      </c>
      <c r="D42" s="14">
        <v>44000</v>
      </c>
      <c r="E42" s="24">
        <f t="shared" ref="E42:E46" si="10">+C42/D42</f>
        <v>0.50731284426062351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7">
        <f t="shared" si="9"/>
        <v>26</v>
      </c>
      <c r="B43" s="6" t="s">
        <v>11</v>
      </c>
      <c r="C43" s="14">
        <f>+'[1]CARNE DEL CORRAL'!F68</f>
        <v>5006.5554473684206</v>
      </c>
      <c r="D43" s="14">
        <v>60000</v>
      </c>
      <c r="E43" s="24">
        <f t="shared" si="10"/>
        <v>8.3442590789473678E-2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7">
        <f t="shared" si="9"/>
        <v>27</v>
      </c>
      <c r="B44" s="6" t="s">
        <v>10</v>
      </c>
      <c r="C44" s="4">
        <f>+'[1]CARNE DEL CORRAL'!F94</f>
        <v>10498.627492693373</v>
      </c>
      <c r="D44" s="14">
        <v>29000</v>
      </c>
      <c r="E44" s="24">
        <f t="shared" si="10"/>
        <v>0.3620216376790818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7">
        <f t="shared" si="9"/>
        <v>28</v>
      </c>
      <c r="B45" s="6" t="s">
        <v>9</v>
      </c>
      <c r="C45" s="4">
        <f>+'[1]CARNE DEL CORRAL'!F122</f>
        <v>6744.7739999999994</v>
      </c>
      <c r="D45" s="14">
        <v>38000</v>
      </c>
      <c r="E45" s="24">
        <f t="shared" si="10"/>
        <v>0.17749405263157894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7">
        <f t="shared" si="9"/>
        <v>29</v>
      </c>
      <c r="B46" s="6" t="s">
        <v>8</v>
      </c>
      <c r="C46" s="4">
        <f>+'[1]CARNE DEL CORRAL'!F148</f>
        <v>6744.7739999999994</v>
      </c>
      <c r="D46" s="14">
        <v>38000</v>
      </c>
      <c r="E46" s="24">
        <f t="shared" si="10"/>
        <v>0.17749405263157894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7"/>
      <c r="B47" s="6"/>
      <c r="C47" s="4"/>
      <c r="D47" s="14"/>
      <c r="E47" s="1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12" t="s">
        <v>7</v>
      </c>
      <c r="B48" s="11"/>
      <c r="C48" s="10" t="s">
        <v>3</v>
      </c>
      <c r="D48" s="10" t="s">
        <v>2</v>
      </c>
      <c r="E48" s="9" t="s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7">
        <v>30</v>
      </c>
      <c r="B49" s="6" t="s">
        <v>6</v>
      </c>
      <c r="C49" s="4">
        <f>+[1]VEGETARIANOS!F15</f>
        <v>8153.1263265523321</v>
      </c>
      <c r="D49" s="8">
        <v>36000</v>
      </c>
      <c r="E49" s="40">
        <f>+C49/D49</f>
        <v>0.22647573129312035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7">
        <f t="shared" ref="A50" si="11">+A49+1</f>
        <v>31</v>
      </c>
      <c r="B50" s="6" t="s">
        <v>5</v>
      </c>
      <c r="C50" s="4"/>
      <c r="D50" s="5">
        <v>33000</v>
      </c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7"/>
      <c r="B51" s="6"/>
      <c r="C51" s="4"/>
      <c r="D51" s="13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12" t="s">
        <v>4</v>
      </c>
      <c r="B52" s="11"/>
      <c r="C52" s="10" t="s">
        <v>3</v>
      </c>
      <c r="D52" s="10" t="s">
        <v>2</v>
      </c>
      <c r="E52" s="9" t="s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7">
        <v>32</v>
      </c>
      <c r="B53" s="6" t="s">
        <v>0</v>
      </c>
      <c r="C53" s="4">
        <f>+[1]VEGETARIANOS!F60</f>
        <v>10114.541463256906</v>
      </c>
      <c r="D53" s="8">
        <v>28000</v>
      </c>
      <c r="E53" s="40">
        <f>+C53/D53</f>
        <v>0.36123362368774664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7"/>
      <c r="B54" s="6"/>
      <c r="C54" s="4"/>
      <c r="D54" s="5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14">
    <mergeCell ref="A48:B48"/>
    <mergeCell ref="A52:B52"/>
    <mergeCell ref="A12:B12"/>
    <mergeCell ref="A17:B17"/>
    <mergeCell ref="A22:B22"/>
    <mergeCell ref="A28:B28"/>
    <mergeCell ref="A31:B31"/>
    <mergeCell ref="A40:B40"/>
    <mergeCell ref="A1:B4"/>
    <mergeCell ref="C1:E1"/>
    <mergeCell ref="C2:E2"/>
    <mergeCell ref="C3:E3"/>
    <mergeCell ref="C4:E4"/>
    <mergeCell ref="A5:B5"/>
  </mergeCells>
  <conditionalFormatting sqref="E6:E10">
    <cfRule type="colorScale" priority="14">
      <colorScale>
        <cfvo type="percent" val="39"/>
        <cfvo type="percent" val="100"/>
        <color rgb="FF00B050"/>
        <color rgb="FFFF0000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15">
    <cfRule type="colorScale" priority="12">
      <colorScale>
        <cfvo type="percent" val="39"/>
        <cfvo type="percent" val="100"/>
        <color rgb="FF00B050"/>
        <color rgb="FFFF0000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">
    <cfRule type="colorScale" priority="11">
      <colorScale>
        <cfvo type="percent" val="39"/>
        <cfvo type="percent" val="100"/>
        <color rgb="FF00B050"/>
        <color rgb="FFFF0000"/>
      </colorScale>
    </cfRule>
  </conditionalFormatting>
  <conditionalFormatting sqref="E18:E20">
    <cfRule type="colorScale" priority="10">
      <colorScale>
        <cfvo type="percent" val="39"/>
        <cfvo type="percent" val="100"/>
        <color rgb="FF00B050"/>
        <color rgb="FFFF0000"/>
      </colorScale>
    </cfRule>
  </conditionalFormatting>
  <conditionalFormatting sqref="E32:E38">
    <cfRule type="cellIs" dxfId="1" priority="3" operator="greaterThan">
      <formula>0.47</formula>
    </cfRule>
    <cfRule type="colorScale" priority="4">
      <colorScale>
        <cfvo type="percent" val="39"/>
        <cfvo type="percent" val="100"/>
        <color rgb="FF00B050"/>
        <color rgb="FFFF0000"/>
      </colorScale>
    </cfRule>
    <cfRule type="colorScale" priority="9">
      <colorScale>
        <cfvo type="percent" val="39"/>
        <cfvo type="percent" val="100"/>
        <color rgb="FF00B050"/>
        <color rgb="FFFF0000"/>
      </colorScale>
    </cfRule>
  </conditionalFormatting>
  <conditionalFormatting sqref="E23:E26">
    <cfRule type="colorScale" priority="8">
      <colorScale>
        <cfvo type="percent" val="39"/>
        <cfvo type="percent" val="100"/>
        <color rgb="FF00B050"/>
        <color rgb="FFFF0000"/>
      </colorScale>
    </cfRule>
  </conditionalFormatting>
  <conditionalFormatting sqref="E29">
    <cfRule type="colorScale" priority="5">
      <colorScale>
        <cfvo type="percent" val="39"/>
        <cfvo type="percent" val="40"/>
        <color rgb="FF00B050"/>
        <color rgb="FFFF0000"/>
      </colorScale>
    </cfRule>
    <cfRule type="colorScale" priority="6">
      <colorScale>
        <cfvo type="percent" val="39"/>
        <cfvo type="percent" val="100"/>
        <color rgb="FF00B050"/>
        <color rgb="FFFF0000"/>
      </colorScale>
    </cfRule>
    <cfRule type="colorScale" priority="7">
      <colorScale>
        <cfvo type="percent" val="39"/>
        <cfvo type="percent" val="100"/>
        <color rgb="FF00B050"/>
        <color rgb="FFFF0000"/>
      </colorScale>
    </cfRule>
  </conditionalFormatting>
  <conditionalFormatting sqref="E41:E46">
    <cfRule type="colorScale" priority="1">
      <colorScale>
        <cfvo type="percent" val="39"/>
        <cfvo type="percent" val="100"/>
        <color rgb="FF00B050"/>
        <color rgb="FFFF0000"/>
      </colorScale>
    </cfRule>
    <cfRule type="cellIs" dxfId="0" priority="2" operator="greaterThan">
      <formula>0.39</formula>
    </cfRule>
  </conditionalFormatting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9BBD-8040-4296-A84B-FFBB392163E2}">
  <sheetPr>
    <tabColor rgb="FF7030A0"/>
  </sheetPr>
  <dimension ref="A1:Z948"/>
  <sheetViews>
    <sheetView topLeftCell="A12" workbookViewId="0">
      <selection activeCell="B38" sqref="B38"/>
    </sheetView>
  </sheetViews>
  <sheetFormatPr baseColWidth="10" defaultColWidth="14.42578125" defaultRowHeight="15" customHeight="1" x14ac:dyDescent="0.25"/>
  <cols>
    <col min="1" max="1" width="7.5703125" customWidth="1"/>
    <col min="2" max="2" width="42.5703125" style="1" customWidth="1"/>
    <col min="3" max="3" width="8.7109375" customWidth="1"/>
    <col min="4" max="4" width="19" customWidth="1"/>
    <col min="5" max="5" width="12.5703125" customWidth="1"/>
    <col min="6" max="6" width="11.42578125" customWidth="1"/>
    <col min="7" max="26" width="10.7109375" customWidth="1"/>
  </cols>
  <sheetData>
    <row r="1" spans="1:26" ht="15" customHeight="1" x14ac:dyDescent="0.25">
      <c r="A1" s="38"/>
      <c r="B1" s="37"/>
      <c r="C1" s="31" t="s">
        <v>55</v>
      </c>
      <c r="D1" s="30"/>
      <c r="E1" s="3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36"/>
      <c r="B2" s="35"/>
      <c r="C2" s="31" t="s">
        <v>54</v>
      </c>
      <c r="D2" s="30"/>
      <c r="E2" s="3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5">
      <c r="A3" s="36"/>
      <c r="B3" s="35"/>
      <c r="C3" s="34">
        <v>44802</v>
      </c>
      <c r="D3" s="30"/>
      <c r="E3" s="3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25">
      <c r="A4" s="33"/>
      <c r="B4" s="32"/>
      <c r="C4" s="31" t="s">
        <v>53</v>
      </c>
      <c r="D4" s="30"/>
      <c r="E4" s="3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12" t="s">
        <v>52</v>
      </c>
      <c r="B5" s="11"/>
      <c r="C5" s="21" t="s">
        <v>3</v>
      </c>
      <c r="D5" s="20" t="s">
        <v>2</v>
      </c>
      <c r="E5" s="9" t="s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7">
        <v>1</v>
      </c>
      <c r="B6" s="18" t="s">
        <v>51</v>
      </c>
      <c r="C6" s="17"/>
      <c r="D6" s="14">
        <v>11000</v>
      </c>
      <c r="E6" s="2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7">
        <f>1+A6</f>
        <v>2</v>
      </c>
      <c r="B7" s="6" t="s">
        <v>50</v>
      </c>
      <c r="C7" s="17"/>
      <c r="D7" s="14">
        <v>11000</v>
      </c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7">
        <f>1+A7</f>
        <v>3</v>
      </c>
      <c r="B8" s="6" t="s">
        <v>49</v>
      </c>
      <c r="C8" s="17"/>
      <c r="D8" s="14">
        <v>11000</v>
      </c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7">
        <f>1+A8</f>
        <v>4</v>
      </c>
      <c r="B9" s="6" t="s">
        <v>48</v>
      </c>
      <c r="C9" s="17"/>
      <c r="D9" s="14">
        <v>8000</v>
      </c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7">
        <f>1+A9</f>
        <v>5</v>
      </c>
      <c r="B10" s="18" t="s">
        <v>47</v>
      </c>
      <c r="C10" s="17"/>
      <c r="D10" s="14">
        <v>12000</v>
      </c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7">
        <f>1+A10</f>
        <v>6</v>
      </c>
      <c r="B11" s="18" t="s">
        <v>46</v>
      </c>
      <c r="C11" s="17"/>
      <c r="D11" s="14">
        <v>12000</v>
      </c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7">
        <f>1+A11</f>
        <v>7</v>
      </c>
      <c r="B12" s="18" t="s">
        <v>45</v>
      </c>
      <c r="C12" s="17"/>
      <c r="D12" s="14">
        <v>12000</v>
      </c>
      <c r="E12" s="1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7">
        <f>1+A12</f>
        <v>8</v>
      </c>
      <c r="B13" s="18" t="s">
        <v>44</v>
      </c>
      <c r="C13" s="17"/>
      <c r="D13" s="14">
        <v>12000</v>
      </c>
      <c r="E13" s="1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7">
        <f>1+A13</f>
        <v>9</v>
      </c>
      <c r="B14" s="18" t="s">
        <v>43</v>
      </c>
      <c r="C14" s="17"/>
      <c r="D14" s="14">
        <v>12000</v>
      </c>
      <c r="E14" s="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7">
        <f>1+A14</f>
        <v>10</v>
      </c>
      <c r="B15" s="18" t="s">
        <v>42</v>
      </c>
      <c r="C15" s="17"/>
      <c r="D15" s="14">
        <v>12000</v>
      </c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7">
        <f>1+A15</f>
        <v>11</v>
      </c>
      <c r="B16" s="18" t="s">
        <v>41</v>
      </c>
      <c r="C16" s="17"/>
      <c r="D16" s="14">
        <v>19000</v>
      </c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7">
        <f>1+A16</f>
        <v>12</v>
      </c>
      <c r="B17" s="18" t="s">
        <v>40</v>
      </c>
      <c r="C17" s="17"/>
      <c r="D17" s="14">
        <v>38000</v>
      </c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7"/>
      <c r="B18" s="18"/>
      <c r="C18" s="17"/>
      <c r="D18" s="14"/>
      <c r="E18" s="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8" t="s">
        <v>39</v>
      </c>
      <c r="B19" s="27"/>
      <c r="C19" s="21" t="s">
        <v>3</v>
      </c>
      <c r="D19" s="20" t="s">
        <v>27</v>
      </c>
      <c r="E19" s="9" t="s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7">
        <v>13</v>
      </c>
      <c r="B20" s="26" t="s">
        <v>38</v>
      </c>
      <c r="C20" s="17"/>
      <c r="D20" s="14">
        <v>9000</v>
      </c>
      <c r="E20" s="1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7">
        <f>1+A20</f>
        <v>14</v>
      </c>
      <c r="B21" s="26" t="s">
        <v>37</v>
      </c>
      <c r="C21" s="17"/>
      <c r="D21" s="14">
        <v>9000</v>
      </c>
      <c r="E21" s="1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7">
        <f>1+A21</f>
        <v>15</v>
      </c>
      <c r="B22" s="26" t="s">
        <v>36</v>
      </c>
      <c r="C22" s="17"/>
      <c r="D22" s="14">
        <v>9000</v>
      </c>
      <c r="E22" s="1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7">
        <f>1+A22</f>
        <v>16</v>
      </c>
      <c r="B23" s="6" t="s">
        <v>35</v>
      </c>
      <c r="C23" s="17"/>
      <c r="D23" s="14">
        <v>4000</v>
      </c>
      <c r="E23" s="1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7">
        <f>1+A23</f>
        <v>17</v>
      </c>
      <c r="B24" s="6" t="s">
        <v>34</v>
      </c>
      <c r="C24" s="17"/>
      <c r="D24" s="14">
        <v>4000</v>
      </c>
      <c r="E24" s="1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7"/>
      <c r="B25" s="6"/>
      <c r="C25" s="17"/>
      <c r="D25" s="14"/>
      <c r="E25" s="1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3" t="s">
        <v>33</v>
      </c>
      <c r="B26" s="22"/>
      <c r="C26" s="21" t="s">
        <v>3</v>
      </c>
      <c r="D26" s="20" t="s">
        <v>27</v>
      </c>
      <c r="E26" s="9" t="s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7">
        <v>18</v>
      </c>
      <c r="B27" s="25" t="s">
        <v>32</v>
      </c>
      <c r="C27" s="17"/>
      <c r="D27" s="14">
        <v>13000</v>
      </c>
      <c r="E27" s="2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7">
        <f>1+A27</f>
        <v>19</v>
      </c>
      <c r="B28" s="18" t="s">
        <v>31</v>
      </c>
      <c r="C28" s="17"/>
      <c r="D28" s="14">
        <v>6000</v>
      </c>
      <c r="E28" s="2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7">
        <f>1+A28</f>
        <v>20</v>
      </c>
      <c r="B29" s="18" t="s">
        <v>30</v>
      </c>
      <c r="C29" s="17"/>
      <c r="D29" s="14">
        <v>6000</v>
      </c>
      <c r="E29" s="2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7">
        <f>1+A29</f>
        <v>21</v>
      </c>
      <c r="B30" s="18" t="s">
        <v>29</v>
      </c>
      <c r="C30" s="17"/>
      <c r="D30" s="14">
        <v>10000</v>
      </c>
      <c r="E30" s="2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7"/>
      <c r="B31" s="18"/>
      <c r="C31" s="17"/>
      <c r="D31" s="14"/>
      <c r="E31" s="2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3" t="s">
        <v>28</v>
      </c>
      <c r="B32" s="22"/>
      <c r="C32" s="21" t="s">
        <v>3</v>
      </c>
      <c r="D32" s="20" t="s">
        <v>27</v>
      </c>
      <c r="E32" s="9" t="s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7">
        <v>22</v>
      </c>
      <c r="B33" s="18" t="s">
        <v>26</v>
      </c>
      <c r="C33" s="17"/>
      <c r="D33" s="14">
        <v>14000</v>
      </c>
      <c r="E33" s="1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7">
        <f>1+A33</f>
        <v>23</v>
      </c>
      <c r="B34" s="18" t="s">
        <v>25</v>
      </c>
      <c r="C34" s="17"/>
      <c r="D34" s="14">
        <v>15000</v>
      </c>
      <c r="E34" s="1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7">
        <f>1+A34</f>
        <v>24</v>
      </c>
      <c r="B35" s="18"/>
      <c r="C35" s="17"/>
      <c r="D35" s="14"/>
      <c r="E35" s="1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7">
        <f>1+A35</f>
        <v>25</v>
      </c>
      <c r="B36" s="19"/>
      <c r="C36" s="17"/>
      <c r="D36" s="14"/>
      <c r="E36" s="1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7"/>
      <c r="B37" s="18"/>
      <c r="C37" s="17"/>
      <c r="D37" s="14"/>
      <c r="E37" s="1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</sheetData>
  <mergeCells count="9">
    <mergeCell ref="A5:B5"/>
    <mergeCell ref="A1:B4"/>
    <mergeCell ref="C1:E1"/>
    <mergeCell ref="C2:E2"/>
    <mergeCell ref="C3:E3"/>
    <mergeCell ref="C4:E4"/>
    <mergeCell ref="A19:B19"/>
    <mergeCell ref="A26:B26"/>
    <mergeCell ref="A32:B32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3281-2A69-4397-9E75-B1BA1704CF70}">
  <sheetPr>
    <tabColor rgb="FFFFFF00"/>
  </sheetPr>
  <dimension ref="A1:F546"/>
  <sheetViews>
    <sheetView workbookViewId="0">
      <selection activeCell="B6" sqref="B6:E12"/>
    </sheetView>
  </sheetViews>
  <sheetFormatPr baseColWidth="10" defaultColWidth="14.42578125" defaultRowHeight="15" customHeight="1" x14ac:dyDescent="0.25"/>
  <cols>
    <col min="1" max="1" width="10.7109375" customWidth="1"/>
    <col min="2" max="2" width="27" bestFit="1" customWidth="1"/>
    <col min="3" max="4" width="10.7109375" customWidth="1"/>
    <col min="5" max="5" width="12.42578125" style="121" customWidth="1"/>
    <col min="6" max="6" width="17.7109375" customWidth="1"/>
    <col min="7" max="7" width="5" customWidth="1"/>
    <col min="8" max="11" width="10.7109375" customWidth="1"/>
  </cols>
  <sheetData>
    <row r="1" spans="1:6" ht="15.75" thickBot="1" x14ac:dyDescent="0.3">
      <c r="A1" s="87" t="s">
        <v>234</v>
      </c>
      <c r="B1" s="88"/>
      <c r="C1" s="88"/>
      <c r="D1" s="88"/>
      <c r="E1" s="88"/>
      <c r="F1" s="89"/>
    </row>
    <row r="2" spans="1:6" x14ac:dyDescent="0.25">
      <c r="A2" s="90" t="s">
        <v>209</v>
      </c>
      <c r="B2" s="91"/>
      <c r="C2" s="91"/>
      <c r="D2" s="91"/>
      <c r="E2" s="91"/>
      <c r="F2" s="92"/>
    </row>
    <row r="3" spans="1:6" x14ac:dyDescent="0.25">
      <c r="A3" s="93"/>
      <c r="B3" s="93"/>
      <c r="C3" s="93"/>
      <c r="D3" s="93"/>
      <c r="E3" s="94" t="s">
        <v>210</v>
      </c>
      <c r="F3" s="95">
        <v>1</v>
      </c>
    </row>
    <row r="4" spans="1:6" x14ac:dyDescent="0.25">
      <c r="A4" s="93"/>
      <c r="B4" s="93"/>
      <c r="C4" s="93"/>
      <c r="D4" s="93"/>
      <c r="E4" s="96" t="s">
        <v>211</v>
      </c>
      <c r="F4" s="97">
        <v>1</v>
      </c>
    </row>
    <row r="5" spans="1:6" x14ac:dyDescent="0.25">
      <c r="A5" s="98" t="s">
        <v>212</v>
      </c>
      <c r="B5" s="98" t="s">
        <v>213</v>
      </c>
      <c r="C5" s="98" t="s">
        <v>214</v>
      </c>
      <c r="D5" s="99" t="s">
        <v>215</v>
      </c>
      <c r="E5" s="100" t="s">
        <v>216</v>
      </c>
      <c r="F5" s="101" t="s">
        <v>217</v>
      </c>
    </row>
    <row r="6" spans="1:6" x14ac:dyDescent="0.25">
      <c r="A6" s="102"/>
      <c r="B6" s="103"/>
      <c r="C6" s="104"/>
      <c r="D6" s="105"/>
      <c r="E6" s="106"/>
      <c r="F6" s="107">
        <f t="shared" ref="F6:F12" si="0">E6*D6</f>
        <v>0</v>
      </c>
    </row>
    <row r="7" spans="1:6" x14ac:dyDescent="0.25">
      <c r="A7" s="102"/>
      <c r="B7" s="103"/>
      <c r="C7" s="104"/>
      <c r="D7" s="105"/>
      <c r="E7" s="106"/>
      <c r="F7" s="107">
        <f t="shared" si="0"/>
        <v>0</v>
      </c>
    </row>
    <row r="8" spans="1:6" x14ac:dyDescent="0.25">
      <c r="A8" s="102"/>
      <c r="B8" s="103"/>
      <c r="C8" s="104"/>
      <c r="D8" s="105"/>
      <c r="E8" s="106"/>
      <c r="F8" s="107">
        <f t="shared" si="0"/>
        <v>0</v>
      </c>
    </row>
    <row r="9" spans="1:6" x14ac:dyDescent="0.25">
      <c r="A9" s="102"/>
      <c r="B9" s="103"/>
      <c r="C9" s="104"/>
      <c r="D9" s="105"/>
      <c r="E9" s="106"/>
      <c r="F9" s="107">
        <f t="shared" si="0"/>
        <v>0</v>
      </c>
    </row>
    <row r="10" spans="1:6" ht="15" customHeight="1" x14ac:dyDescent="0.25">
      <c r="A10" s="102"/>
      <c r="B10" s="108"/>
      <c r="C10" s="104"/>
      <c r="D10" s="105"/>
      <c r="E10" s="106"/>
      <c r="F10" s="107">
        <f t="shared" si="0"/>
        <v>0</v>
      </c>
    </row>
    <row r="11" spans="1:6" x14ac:dyDescent="0.25">
      <c r="A11" s="102"/>
      <c r="B11" s="108"/>
      <c r="C11" s="104"/>
      <c r="D11" s="105"/>
      <c r="E11" s="106"/>
      <c r="F11" s="107">
        <f t="shared" si="0"/>
        <v>0</v>
      </c>
    </row>
    <row r="12" spans="1:6" x14ac:dyDescent="0.25">
      <c r="A12" s="102"/>
      <c r="B12" s="108"/>
      <c r="C12" s="104"/>
      <c r="D12" s="105"/>
      <c r="E12" s="106"/>
      <c r="F12" s="107">
        <f t="shared" si="0"/>
        <v>0</v>
      </c>
    </row>
    <row r="13" spans="1:6" x14ac:dyDescent="0.25">
      <c r="A13" s="102"/>
      <c r="B13" s="109"/>
      <c r="C13" s="110"/>
      <c r="D13" s="111"/>
      <c r="E13" s="112"/>
      <c r="F13" s="113"/>
    </row>
    <row r="14" spans="1:6" ht="15" customHeight="1" x14ac:dyDescent="0.25">
      <c r="A14" s="114" t="s">
        <v>218</v>
      </c>
      <c r="B14" s="44"/>
      <c r="C14" s="44"/>
      <c r="D14" s="44"/>
      <c r="E14" s="45"/>
      <c r="F14" s="115">
        <f>SUM(F6:F13)</f>
        <v>0</v>
      </c>
    </row>
    <row r="15" spans="1:6" x14ac:dyDescent="0.25">
      <c r="A15" s="116" t="s">
        <v>219</v>
      </c>
      <c r="B15" s="44"/>
      <c r="C15" s="44"/>
      <c r="D15" s="45"/>
      <c r="E15" s="117">
        <v>0.06</v>
      </c>
      <c r="F15" s="118">
        <f>+F14*E15</f>
        <v>0</v>
      </c>
    </row>
    <row r="16" spans="1:6" x14ac:dyDescent="0.25">
      <c r="A16" s="114" t="s">
        <v>220</v>
      </c>
      <c r="B16" s="44"/>
      <c r="C16" s="44"/>
      <c r="D16" s="44"/>
      <c r="E16" s="45"/>
      <c r="F16" s="115">
        <f>+F14+F15</f>
        <v>0</v>
      </c>
    </row>
    <row r="17" spans="1:6" x14ac:dyDescent="0.25">
      <c r="A17" s="119" t="s">
        <v>221</v>
      </c>
      <c r="B17" s="44"/>
      <c r="C17" s="44"/>
      <c r="D17" s="44"/>
      <c r="E17" s="45"/>
      <c r="F17" s="120">
        <f>+F14/F4</f>
        <v>0</v>
      </c>
    </row>
    <row r="18" spans="1:6" x14ac:dyDescent="0.25">
      <c r="A18" s="114" t="s">
        <v>218</v>
      </c>
      <c r="B18" s="44"/>
      <c r="C18" s="44"/>
      <c r="D18" s="44"/>
      <c r="E18" s="45"/>
      <c r="F18" s="115">
        <f>ROUND(F17, -2)</f>
        <v>0</v>
      </c>
    </row>
    <row r="19" spans="1:6" ht="15.75" customHeight="1" x14ac:dyDescent="0.25"/>
    <row r="20" spans="1:6" ht="15.75" customHeight="1" x14ac:dyDescent="0.25"/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</sheetData>
  <mergeCells count="8">
    <mergeCell ref="A17:E17"/>
    <mergeCell ref="A18:E18"/>
    <mergeCell ref="A1:F1"/>
    <mergeCell ref="A2:F2"/>
    <mergeCell ref="A3:D4"/>
    <mergeCell ref="A14:E14"/>
    <mergeCell ref="A15:D15"/>
    <mergeCell ref="A16:E16"/>
  </mergeCells>
  <pageMargins left="0.7" right="0.7" top="0.75" bottom="0.75" header="0" footer="0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AAE8-BDE7-4BC0-812A-5F86957CB93A}">
  <sheetPr>
    <tabColor rgb="FF7030A0"/>
  </sheetPr>
  <dimension ref="A1:K824"/>
  <sheetViews>
    <sheetView workbookViewId="0">
      <selection activeCell="H22" sqref="H22"/>
    </sheetView>
  </sheetViews>
  <sheetFormatPr baseColWidth="10" defaultColWidth="14.42578125" defaultRowHeight="15" customHeight="1" x14ac:dyDescent="0.25"/>
  <cols>
    <col min="1" max="1" width="10.7109375" customWidth="1"/>
    <col min="2" max="2" width="29.7109375" customWidth="1"/>
    <col min="3" max="4" width="10.7109375" customWidth="1"/>
    <col min="5" max="5" width="13" customWidth="1"/>
    <col min="6" max="6" width="10.7109375" customWidth="1"/>
    <col min="7" max="7" width="4.42578125" customWidth="1"/>
    <col min="8" max="8" width="14.5703125" customWidth="1"/>
    <col min="9" max="9" width="13.28515625" customWidth="1"/>
    <col min="10" max="14" width="10.7109375" customWidth="1"/>
    <col min="15" max="15" width="4.28515625" customWidth="1"/>
    <col min="16" max="19" width="10.7109375" customWidth="1"/>
  </cols>
  <sheetData>
    <row r="1" spans="1:11" ht="21" customHeight="1" thickBot="1" x14ac:dyDescent="0.3">
      <c r="A1" s="87" t="s">
        <v>234</v>
      </c>
      <c r="B1" s="88"/>
      <c r="C1" s="88"/>
      <c r="D1" s="88"/>
      <c r="E1" s="88"/>
      <c r="F1" s="89"/>
    </row>
    <row r="2" spans="1:11" x14ac:dyDescent="0.25">
      <c r="A2" s="90" t="s">
        <v>209</v>
      </c>
      <c r="B2" s="91"/>
      <c r="C2" s="91"/>
      <c r="D2" s="91"/>
      <c r="E2" s="91"/>
      <c r="F2" s="92"/>
      <c r="H2" s="125" t="s">
        <v>222</v>
      </c>
      <c r="I2" s="126" t="s">
        <v>223</v>
      </c>
    </row>
    <row r="3" spans="1:11" x14ac:dyDescent="0.25">
      <c r="A3" s="122" t="s">
        <v>224</v>
      </c>
      <c r="B3" s="37"/>
      <c r="C3" s="37"/>
      <c r="D3" s="52"/>
      <c r="E3" s="127" t="s">
        <v>225</v>
      </c>
      <c r="F3" s="95">
        <v>1</v>
      </c>
    </row>
    <row r="4" spans="1:11" x14ac:dyDescent="0.25">
      <c r="A4" s="33"/>
      <c r="B4" s="32"/>
      <c r="C4" s="32"/>
      <c r="D4" s="59"/>
      <c r="E4" s="128" t="s">
        <v>211</v>
      </c>
      <c r="F4" s="97">
        <v>1</v>
      </c>
      <c r="J4" s="129"/>
      <c r="K4" s="130"/>
    </row>
    <row r="5" spans="1:11" x14ac:dyDescent="0.25">
      <c r="A5" s="131" t="s">
        <v>212</v>
      </c>
      <c r="B5" s="131" t="s">
        <v>213</v>
      </c>
      <c r="C5" s="131" t="s">
        <v>214</v>
      </c>
      <c r="D5" s="132" t="s">
        <v>215</v>
      </c>
      <c r="E5" s="133" t="s">
        <v>216</v>
      </c>
      <c r="F5" s="134" t="s">
        <v>217</v>
      </c>
    </row>
    <row r="6" spans="1:11" x14ac:dyDescent="0.25">
      <c r="A6" s="135"/>
      <c r="B6" s="136"/>
      <c r="C6" s="137"/>
      <c r="D6" s="138"/>
      <c r="E6" s="139"/>
      <c r="F6" s="140">
        <f>+E6*D6</f>
        <v>0</v>
      </c>
    </row>
    <row r="7" spans="1:11" x14ac:dyDescent="0.25">
      <c r="A7" s="135"/>
      <c r="B7" s="136"/>
      <c r="C7" s="137"/>
      <c r="D7" s="138"/>
      <c r="E7" s="139"/>
      <c r="F7" s="140">
        <f t="shared" ref="F7:F12" si="0">+E7*D7</f>
        <v>0</v>
      </c>
    </row>
    <row r="8" spans="1:11" x14ac:dyDescent="0.25">
      <c r="A8" s="135"/>
      <c r="B8" s="136"/>
      <c r="C8" s="137"/>
      <c r="D8" s="138"/>
      <c r="E8" s="139"/>
      <c r="F8" s="140">
        <f t="shared" si="0"/>
        <v>0</v>
      </c>
    </row>
    <row r="9" spans="1:11" x14ac:dyDescent="0.25">
      <c r="A9" s="135"/>
      <c r="B9" s="136"/>
      <c r="C9" s="137"/>
      <c r="D9" s="138"/>
      <c r="E9" s="139"/>
      <c r="F9" s="140">
        <f t="shared" si="0"/>
        <v>0</v>
      </c>
    </row>
    <row r="10" spans="1:11" x14ac:dyDescent="0.25">
      <c r="A10" s="141"/>
      <c r="B10" s="142"/>
      <c r="C10" s="137"/>
      <c r="D10" s="143"/>
      <c r="E10" s="140"/>
      <c r="F10" s="140">
        <f t="shared" si="0"/>
        <v>0</v>
      </c>
    </row>
    <row r="11" spans="1:11" x14ac:dyDescent="0.25">
      <c r="A11" s="141"/>
      <c r="B11" s="142"/>
      <c r="C11" s="137"/>
      <c r="D11" s="143"/>
      <c r="E11" s="140"/>
      <c r="F11" s="140">
        <f t="shared" si="0"/>
        <v>0</v>
      </c>
    </row>
    <row r="12" spans="1:11" x14ac:dyDescent="0.25">
      <c r="A12" s="141"/>
      <c r="B12" s="142"/>
      <c r="C12" s="137"/>
      <c r="D12" s="143"/>
      <c r="E12" s="140"/>
      <c r="F12" s="140">
        <f t="shared" si="0"/>
        <v>0</v>
      </c>
    </row>
    <row r="13" spans="1:11" x14ac:dyDescent="0.25">
      <c r="A13" s="144"/>
      <c r="B13" s="136"/>
      <c r="C13" s="137"/>
      <c r="D13" s="138"/>
      <c r="E13" s="145"/>
      <c r="F13" s="145"/>
    </row>
    <row r="14" spans="1:11" x14ac:dyDescent="0.25">
      <c r="A14" s="146" t="s">
        <v>218</v>
      </c>
      <c r="B14" s="147"/>
      <c r="C14" s="147"/>
      <c r="D14" s="147"/>
      <c r="E14" s="148"/>
      <c r="F14" s="149">
        <f>SUM(F6:F13)</f>
        <v>0</v>
      </c>
    </row>
    <row r="15" spans="1:11" x14ac:dyDescent="0.25">
      <c r="A15" s="119" t="s">
        <v>219</v>
      </c>
      <c r="B15" s="123"/>
      <c r="C15" s="123"/>
      <c r="D15" s="124"/>
      <c r="E15" s="150">
        <v>0</v>
      </c>
      <c r="F15" s="151">
        <f>+F14*E15</f>
        <v>0</v>
      </c>
    </row>
    <row r="16" spans="1:11" x14ac:dyDescent="0.25">
      <c r="A16" s="146" t="s">
        <v>226</v>
      </c>
      <c r="B16" s="147"/>
      <c r="C16" s="147"/>
      <c r="D16" s="147"/>
      <c r="E16" s="148"/>
      <c r="F16" s="152">
        <f>+F14+F15</f>
        <v>0</v>
      </c>
    </row>
    <row r="17" spans="1:6" x14ac:dyDescent="0.25">
      <c r="A17" s="119" t="s">
        <v>227</v>
      </c>
      <c r="B17" s="123"/>
      <c r="C17" s="123"/>
      <c r="D17" s="123"/>
      <c r="E17" s="124"/>
      <c r="F17" s="153">
        <f>+F16/F4</f>
        <v>0</v>
      </c>
    </row>
    <row r="18" spans="1:6" x14ac:dyDescent="0.25">
      <c r="A18" s="146" t="s">
        <v>228</v>
      </c>
      <c r="B18" s="147"/>
      <c r="C18" s="147"/>
      <c r="D18" s="147"/>
      <c r="E18" s="148"/>
      <c r="F18" s="154">
        <v>0.35</v>
      </c>
    </row>
    <row r="19" spans="1:6" x14ac:dyDescent="0.25">
      <c r="A19" s="119" t="s">
        <v>229</v>
      </c>
      <c r="B19" s="123"/>
      <c r="C19" s="123"/>
      <c r="D19" s="123"/>
      <c r="E19" s="124"/>
      <c r="F19" s="151">
        <f>+F17/F18</f>
        <v>0</v>
      </c>
    </row>
    <row r="20" spans="1:6" x14ac:dyDescent="0.25">
      <c r="A20" s="146" t="s">
        <v>230</v>
      </c>
      <c r="B20" s="147"/>
      <c r="C20" s="147"/>
      <c r="D20" s="147"/>
      <c r="E20" s="148"/>
      <c r="F20" s="149">
        <f>ROUNDUP(F19,-2)</f>
        <v>0</v>
      </c>
    </row>
    <row r="21" spans="1:6" x14ac:dyDescent="0.25">
      <c r="A21" s="155" t="s">
        <v>231</v>
      </c>
      <c r="B21" s="156"/>
      <c r="C21" s="156"/>
      <c r="D21" s="156"/>
      <c r="E21" s="157"/>
      <c r="F21" s="158" t="e">
        <f>+F17/F20</f>
        <v>#DIV/0!</v>
      </c>
    </row>
    <row r="22" spans="1:6" x14ac:dyDescent="0.25">
      <c r="A22" s="146" t="s">
        <v>232</v>
      </c>
      <c r="B22" s="147"/>
      <c r="C22" s="147"/>
      <c r="D22" s="148"/>
      <c r="E22" s="159">
        <v>0.08</v>
      </c>
      <c r="F22" s="152">
        <f>+F20*E22</f>
        <v>0</v>
      </c>
    </row>
    <row r="23" spans="1:6" ht="15.75" customHeight="1" x14ac:dyDescent="0.25">
      <c r="A23" s="119" t="s">
        <v>233</v>
      </c>
      <c r="B23" s="123"/>
      <c r="C23" s="123"/>
      <c r="D23" s="123"/>
      <c r="E23" s="124"/>
      <c r="F23" s="160">
        <f>+F20+F22</f>
        <v>0</v>
      </c>
    </row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</sheetData>
  <mergeCells count="13">
    <mergeCell ref="A23:E23"/>
    <mergeCell ref="A17:E17"/>
    <mergeCell ref="A18:E18"/>
    <mergeCell ref="A19:E19"/>
    <mergeCell ref="A20:E20"/>
    <mergeCell ref="A21:E21"/>
    <mergeCell ref="A22:D22"/>
    <mergeCell ref="A1:F1"/>
    <mergeCell ref="A2:F2"/>
    <mergeCell ref="A3:D4"/>
    <mergeCell ref="A14:E14"/>
    <mergeCell ref="A15:D15"/>
    <mergeCell ref="A16:E16"/>
  </mergeCells>
  <hyperlinks>
    <hyperlink ref="H2" location="'LISTA MAESTRA'!A1" display="LISTA MAESTRA" xr:uid="{54E6F62E-58B6-4F0D-8B10-0CF956C49080}"/>
    <hyperlink ref="I2" location="'RECETA BASE'!A1" display="'RECETA BASE'" xr:uid="{99E22104-285B-405E-83B6-F9761888FAE4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6778-9488-400D-85FA-EEB0762E9D09}">
  <sheetPr>
    <tabColor rgb="FF7030A0"/>
  </sheetPr>
  <dimension ref="A1:K824"/>
  <sheetViews>
    <sheetView workbookViewId="0">
      <selection activeCell="H18" sqref="H18"/>
    </sheetView>
  </sheetViews>
  <sheetFormatPr baseColWidth="10" defaultColWidth="14.42578125" defaultRowHeight="15" customHeight="1" x14ac:dyDescent="0.25"/>
  <cols>
    <col min="1" max="1" width="10.7109375" customWidth="1"/>
    <col min="2" max="2" width="29.7109375" customWidth="1"/>
    <col min="3" max="4" width="10.7109375" customWidth="1"/>
    <col min="5" max="5" width="13" customWidth="1"/>
    <col min="6" max="6" width="10.7109375" customWidth="1"/>
    <col min="7" max="7" width="4.42578125" customWidth="1"/>
    <col min="8" max="8" width="14.5703125" customWidth="1"/>
    <col min="9" max="9" width="13.28515625" customWidth="1"/>
    <col min="10" max="14" width="10.7109375" customWidth="1"/>
    <col min="15" max="15" width="4.28515625" customWidth="1"/>
    <col min="16" max="19" width="10.7109375" customWidth="1"/>
  </cols>
  <sheetData>
    <row r="1" spans="1:11" ht="21" customHeight="1" thickBot="1" x14ac:dyDescent="0.3">
      <c r="A1" s="87" t="s">
        <v>234</v>
      </c>
      <c r="B1" s="88"/>
      <c r="C1" s="88"/>
      <c r="D1" s="88"/>
      <c r="E1" s="88"/>
      <c r="F1" s="89"/>
    </row>
    <row r="2" spans="1:11" x14ac:dyDescent="0.25">
      <c r="A2" s="90" t="s">
        <v>209</v>
      </c>
      <c r="B2" s="91"/>
      <c r="C2" s="91"/>
      <c r="D2" s="91"/>
      <c r="E2" s="91"/>
      <c r="F2" s="92"/>
      <c r="H2" s="125" t="s">
        <v>222</v>
      </c>
      <c r="I2" s="126" t="s">
        <v>223</v>
      </c>
    </row>
    <row r="3" spans="1:11" x14ac:dyDescent="0.25">
      <c r="A3" s="122" t="s">
        <v>224</v>
      </c>
      <c r="B3" s="37"/>
      <c r="C3" s="37"/>
      <c r="D3" s="52"/>
      <c r="E3" s="127" t="s">
        <v>225</v>
      </c>
      <c r="F3" s="95">
        <v>1</v>
      </c>
    </row>
    <row r="4" spans="1:11" x14ac:dyDescent="0.25">
      <c r="A4" s="33"/>
      <c r="B4" s="32"/>
      <c r="C4" s="32"/>
      <c r="D4" s="59"/>
      <c r="E4" s="128" t="s">
        <v>211</v>
      </c>
      <c r="F4" s="97">
        <v>1</v>
      </c>
      <c r="J4" s="129"/>
      <c r="K4" s="130"/>
    </row>
    <row r="5" spans="1:11" x14ac:dyDescent="0.25">
      <c r="A5" s="131" t="s">
        <v>212</v>
      </c>
      <c r="B5" s="131" t="s">
        <v>213</v>
      </c>
      <c r="C5" s="131" t="s">
        <v>214</v>
      </c>
      <c r="D5" s="132" t="s">
        <v>215</v>
      </c>
      <c r="E5" s="133" t="s">
        <v>216</v>
      </c>
      <c r="F5" s="134" t="s">
        <v>217</v>
      </c>
    </row>
    <row r="6" spans="1:11" x14ac:dyDescent="0.25">
      <c r="A6" s="135"/>
      <c r="B6" s="136"/>
      <c r="C6" s="137"/>
      <c r="D6" s="138"/>
      <c r="E6" s="139"/>
      <c r="F6" s="140">
        <f>+E6*D6</f>
        <v>0</v>
      </c>
    </row>
    <row r="7" spans="1:11" x14ac:dyDescent="0.25">
      <c r="A7" s="135"/>
      <c r="B7" s="136"/>
      <c r="C7" s="137"/>
      <c r="D7" s="138"/>
      <c r="E7" s="139"/>
      <c r="F7" s="140">
        <f t="shared" ref="F7:F12" si="0">+E7*D7</f>
        <v>0</v>
      </c>
    </row>
    <row r="8" spans="1:11" x14ac:dyDescent="0.25">
      <c r="A8" s="135"/>
      <c r="B8" s="136"/>
      <c r="C8" s="137"/>
      <c r="D8" s="138"/>
      <c r="E8" s="139"/>
      <c r="F8" s="140">
        <f t="shared" si="0"/>
        <v>0</v>
      </c>
    </row>
    <row r="9" spans="1:11" x14ac:dyDescent="0.25">
      <c r="A9" s="135"/>
      <c r="B9" s="136"/>
      <c r="C9" s="137"/>
      <c r="D9" s="138"/>
      <c r="E9" s="139"/>
      <c r="F9" s="140">
        <f t="shared" si="0"/>
        <v>0</v>
      </c>
    </row>
    <row r="10" spans="1:11" x14ac:dyDescent="0.25">
      <c r="A10" s="141"/>
      <c r="B10" s="142"/>
      <c r="C10" s="137"/>
      <c r="D10" s="143"/>
      <c r="E10" s="140"/>
      <c r="F10" s="140">
        <f t="shared" si="0"/>
        <v>0</v>
      </c>
    </row>
    <row r="11" spans="1:11" x14ac:dyDescent="0.25">
      <c r="A11" s="141"/>
      <c r="B11" s="142"/>
      <c r="C11" s="137"/>
      <c r="D11" s="143"/>
      <c r="E11" s="140"/>
      <c r="F11" s="140">
        <f t="shared" si="0"/>
        <v>0</v>
      </c>
    </row>
    <row r="12" spans="1:11" x14ac:dyDescent="0.25">
      <c r="A12" s="141"/>
      <c r="B12" s="142"/>
      <c r="C12" s="137"/>
      <c r="D12" s="143"/>
      <c r="E12" s="140"/>
      <c r="F12" s="140">
        <f t="shared" si="0"/>
        <v>0</v>
      </c>
    </row>
    <row r="13" spans="1:11" x14ac:dyDescent="0.25">
      <c r="A13" s="144"/>
      <c r="B13" s="136"/>
      <c r="C13" s="137"/>
      <c r="D13" s="138"/>
      <c r="E13" s="145"/>
      <c r="F13" s="145"/>
    </row>
    <row r="14" spans="1:11" x14ac:dyDescent="0.25">
      <c r="A14" s="146" t="s">
        <v>218</v>
      </c>
      <c r="B14" s="147"/>
      <c r="C14" s="147"/>
      <c r="D14" s="147"/>
      <c r="E14" s="148"/>
      <c r="F14" s="149">
        <f>SUM(F6:F13)</f>
        <v>0</v>
      </c>
    </row>
    <row r="15" spans="1:11" x14ac:dyDescent="0.25">
      <c r="A15" s="119" t="s">
        <v>219</v>
      </c>
      <c r="B15" s="123"/>
      <c r="C15" s="123"/>
      <c r="D15" s="124"/>
      <c r="E15" s="150">
        <v>0</v>
      </c>
      <c r="F15" s="151">
        <f>+F14*E15</f>
        <v>0</v>
      </c>
    </row>
    <row r="16" spans="1:11" x14ac:dyDescent="0.25">
      <c r="A16" s="146" t="s">
        <v>226</v>
      </c>
      <c r="B16" s="147"/>
      <c r="C16" s="147"/>
      <c r="D16" s="147"/>
      <c r="E16" s="148"/>
      <c r="F16" s="152">
        <f>+F14+F15</f>
        <v>0</v>
      </c>
    </row>
    <row r="17" spans="1:6" x14ac:dyDescent="0.25">
      <c r="A17" s="119" t="s">
        <v>227</v>
      </c>
      <c r="B17" s="123"/>
      <c r="C17" s="123"/>
      <c r="D17" s="123"/>
      <c r="E17" s="124"/>
      <c r="F17" s="153">
        <f>+F16/F4</f>
        <v>0</v>
      </c>
    </row>
    <row r="18" spans="1:6" x14ac:dyDescent="0.25">
      <c r="A18" s="146" t="s">
        <v>228</v>
      </c>
      <c r="B18" s="147"/>
      <c r="C18" s="147"/>
      <c r="D18" s="147"/>
      <c r="E18" s="148"/>
      <c r="F18" s="154">
        <v>0.35</v>
      </c>
    </row>
    <row r="19" spans="1:6" x14ac:dyDescent="0.25">
      <c r="A19" s="119" t="s">
        <v>229</v>
      </c>
      <c r="B19" s="123"/>
      <c r="C19" s="123"/>
      <c r="D19" s="123"/>
      <c r="E19" s="124"/>
      <c r="F19" s="151">
        <f>+F17/F18</f>
        <v>0</v>
      </c>
    </row>
    <row r="20" spans="1:6" x14ac:dyDescent="0.25">
      <c r="A20" s="146" t="s">
        <v>230</v>
      </c>
      <c r="B20" s="147"/>
      <c r="C20" s="147"/>
      <c r="D20" s="147"/>
      <c r="E20" s="148"/>
      <c r="F20" s="149">
        <f>ROUNDUP(F19,-2)</f>
        <v>0</v>
      </c>
    </row>
    <row r="21" spans="1:6" x14ac:dyDescent="0.25">
      <c r="A21" s="155" t="s">
        <v>231</v>
      </c>
      <c r="B21" s="156"/>
      <c r="C21" s="156"/>
      <c r="D21" s="156"/>
      <c r="E21" s="157"/>
      <c r="F21" s="158" t="e">
        <f>+F17/F20</f>
        <v>#DIV/0!</v>
      </c>
    </row>
    <row r="22" spans="1:6" x14ac:dyDescent="0.25">
      <c r="A22" s="146" t="s">
        <v>232</v>
      </c>
      <c r="B22" s="147"/>
      <c r="C22" s="147"/>
      <c r="D22" s="148"/>
      <c r="E22" s="159">
        <v>0.08</v>
      </c>
      <c r="F22" s="152">
        <f>+F20*E22</f>
        <v>0</v>
      </c>
    </row>
    <row r="23" spans="1:6" ht="15.75" customHeight="1" x14ac:dyDescent="0.25">
      <c r="A23" s="119" t="s">
        <v>233</v>
      </c>
      <c r="B23" s="123"/>
      <c r="C23" s="123"/>
      <c r="D23" s="123"/>
      <c r="E23" s="124"/>
      <c r="F23" s="160">
        <f>+F20+F22</f>
        <v>0</v>
      </c>
    </row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</sheetData>
  <mergeCells count="13">
    <mergeCell ref="A23:E23"/>
    <mergeCell ref="A17:E17"/>
    <mergeCell ref="A18:E18"/>
    <mergeCell ref="A19:E19"/>
    <mergeCell ref="A20:E20"/>
    <mergeCell ref="A21:E21"/>
    <mergeCell ref="A22:D22"/>
    <mergeCell ref="A1:F1"/>
    <mergeCell ref="A2:F2"/>
    <mergeCell ref="A3:D4"/>
    <mergeCell ref="A14:E14"/>
    <mergeCell ref="A15:D15"/>
    <mergeCell ref="A16:E16"/>
  </mergeCells>
  <hyperlinks>
    <hyperlink ref="H2" location="'LISTA MAESTRA'!A1" display="LISTA MAESTRA" xr:uid="{1F1B9A93-C57E-453D-903B-F20A88E365B9}"/>
    <hyperlink ref="I2" location="'RECETA BASE'!A1" display="'RECETA BASE'" xr:uid="{EAE861BB-1DE1-43E2-AC48-1CC3D573EC49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0E71-7A3C-434B-9DF7-462CBBACC5AE}">
  <sheetPr>
    <tabColor rgb="FF7030A0"/>
  </sheetPr>
  <dimension ref="A1:K824"/>
  <sheetViews>
    <sheetView tabSelected="1" workbookViewId="0">
      <selection activeCell="H18" sqref="H18"/>
    </sheetView>
  </sheetViews>
  <sheetFormatPr baseColWidth="10" defaultColWidth="14.42578125" defaultRowHeight="15" customHeight="1" x14ac:dyDescent="0.25"/>
  <cols>
    <col min="1" max="1" width="10.7109375" customWidth="1"/>
    <col min="2" max="2" width="29.7109375" customWidth="1"/>
    <col min="3" max="4" width="10.7109375" customWidth="1"/>
    <col min="5" max="5" width="13" customWidth="1"/>
    <col min="6" max="6" width="10.7109375" customWidth="1"/>
    <col min="7" max="7" width="4.42578125" customWidth="1"/>
    <col min="8" max="8" width="14.5703125" customWidth="1"/>
    <col min="9" max="9" width="13.28515625" customWidth="1"/>
    <col min="10" max="14" width="10.7109375" customWidth="1"/>
    <col min="15" max="15" width="4.28515625" customWidth="1"/>
    <col min="16" max="19" width="10.7109375" customWidth="1"/>
  </cols>
  <sheetData>
    <row r="1" spans="1:11" ht="21" customHeight="1" thickBot="1" x14ac:dyDescent="0.3">
      <c r="A1" s="87" t="s">
        <v>234</v>
      </c>
      <c r="B1" s="88"/>
      <c r="C1" s="88"/>
      <c r="D1" s="88"/>
      <c r="E1" s="88"/>
      <c r="F1" s="89"/>
    </row>
    <row r="2" spans="1:11" x14ac:dyDescent="0.25">
      <c r="A2" s="90" t="s">
        <v>209</v>
      </c>
      <c r="B2" s="91"/>
      <c r="C2" s="91"/>
      <c r="D2" s="91"/>
      <c r="E2" s="91"/>
      <c r="F2" s="92"/>
      <c r="H2" s="125" t="s">
        <v>222</v>
      </c>
      <c r="I2" s="126" t="s">
        <v>223</v>
      </c>
    </row>
    <row r="3" spans="1:11" x14ac:dyDescent="0.25">
      <c r="A3" s="122" t="s">
        <v>224</v>
      </c>
      <c r="B3" s="37"/>
      <c r="C3" s="37"/>
      <c r="D3" s="52"/>
      <c r="E3" s="127" t="s">
        <v>225</v>
      </c>
      <c r="F3" s="95">
        <v>1</v>
      </c>
    </row>
    <row r="4" spans="1:11" x14ac:dyDescent="0.25">
      <c r="A4" s="33"/>
      <c r="B4" s="32"/>
      <c r="C4" s="32"/>
      <c r="D4" s="59"/>
      <c r="E4" s="128" t="s">
        <v>211</v>
      </c>
      <c r="F4" s="97">
        <v>1</v>
      </c>
      <c r="J4" s="129"/>
      <c r="K4" s="130"/>
    </row>
    <row r="5" spans="1:11" x14ac:dyDescent="0.25">
      <c r="A5" s="131" t="s">
        <v>212</v>
      </c>
      <c r="B5" s="131" t="s">
        <v>213</v>
      </c>
      <c r="C5" s="131" t="s">
        <v>214</v>
      </c>
      <c r="D5" s="132" t="s">
        <v>215</v>
      </c>
      <c r="E5" s="133" t="s">
        <v>216</v>
      </c>
      <c r="F5" s="134" t="s">
        <v>217</v>
      </c>
    </row>
    <row r="6" spans="1:11" x14ac:dyDescent="0.25">
      <c r="A6" s="135"/>
      <c r="B6" s="136"/>
      <c r="C6" s="137"/>
      <c r="D6" s="138"/>
      <c r="E6" s="139"/>
      <c r="F6" s="140">
        <f>+E6*D6</f>
        <v>0</v>
      </c>
    </row>
    <row r="7" spans="1:11" x14ac:dyDescent="0.25">
      <c r="A7" s="135"/>
      <c r="B7" s="136"/>
      <c r="C7" s="137"/>
      <c r="D7" s="138"/>
      <c r="E7" s="139"/>
      <c r="F7" s="140">
        <f t="shared" ref="F7:F12" si="0">+E7*D7</f>
        <v>0</v>
      </c>
    </row>
    <row r="8" spans="1:11" x14ac:dyDescent="0.25">
      <c r="A8" s="135"/>
      <c r="B8" s="136"/>
      <c r="C8" s="137"/>
      <c r="D8" s="138"/>
      <c r="E8" s="139"/>
      <c r="F8" s="140">
        <f t="shared" si="0"/>
        <v>0</v>
      </c>
    </row>
    <row r="9" spans="1:11" x14ac:dyDescent="0.25">
      <c r="A9" s="135"/>
      <c r="B9" s="136"/>
      <c r="C9" s="137"/>
      <c r="D9" s="138"/>
      <c r="E9" s="139"/>
      <c r="F9" s="140">
        <f t="shared" si="0"/>
        <v>0</v>
      </c>
    </row>
    <row r="10" spans="1:11" x14ac:dyDescent="0.25">
      <c r="A10" s="141"/>
      <c r="B10" s="142"/>
      <c r="C10" s="137"/>
      <c r="D10" s="143"/>
      <c r="E10" s="140"/>
      <c r="F10" s="140">
        <f t="shared" si="0"/>
        <v>0</v>
      </c>
    </row>
    <row r="11" spans="1:11" x14ac:dyDescent="0.25">
      <c r="A11" s="141"/>
      <c r="B11" s="142"/>
      <c r="C11" s="137"/>
      <c r="D11" s="143"/>
      <c r="E11" s="140"/>
      <c r="F11" s="140">
        <f t="shared" si="0"/>
        <v>0</v>
      </c>
    </row>
    <row r="12" spans="1:11" x14ac:dyDescent="0.25">
      <c r="A12" s="141"/>
      <c r="B12" s="142"/>
      <c r="C12" s="137"/>
      <c r="D12" s="143"/>
      <c r="E12" s="140"/>
      <c r="F12" s="140">
        <f t="shared" si="0"/>
        <v>0</v>
      </c>
    </row>
    <row r="13" spans="1:11" x14ac:dyDescent="0.25">
      <c r="A13" s="144"/>
      <c r="B13" s="136"/>
      <c r="C13" s="137"/>
      <c r="D13" s="138"/>
      <c r="E13" s="145"/>
      <c r="F13" s="145"/>
    </row>
    <row r="14" spans="1:11" x14ac:dyDescent="0.25">
      <c r="A14" s="146" t="s">
        <v>218</v>
      </c>
      <c r="B14" s="147"/>
      <c r="C14" s="147"/>
      <c r="D14" s="147"/>
      <c r="E14" s="148"/>
      <c r="F14" s="149">
        <f>SUM(F6:F13)</f>
        <v>0</v>
      </c>
    </row>
    <row r="15" spans="1:11" x14ac:dyDescent="0.25">
      <c r="A15" s="119" t="s">
        <v>219</v>
      </c>
      <c r="B15" s="123"/>
      <c r="C15" s="123"/>
      <c r="D15" s="124"/>
      <c r="E15" s="150">
        <v>0</v>
      </c>
      <c r="F15" s="151">
        <f>+F14*E15</f>
        <v>0</v>
      </c>
    </row>
    <row r="16" spans="1:11" x14ac:dyDescent="0.25">
      <c r="A16" s="146" t="s">
        <v>226</v>
      </c>
      <c r="B16" s="147"/>
      <c r="C16" s="147"/>
      <c r="D16" s="147"/>
      <c r="E16" s="148"/>
      <c r="F16" s="152">
        <f>+F14+F15</f>
        <v>0</v>
      </c>
    </row>
    <row r="17" spans="1:6" x14ac:dyDescent="0.25">
      <c r="A17" s="119" t="s">
        <v>227</v>
      </c>
      <c r="B17" s="123"/>
      <c r="C17" s="123"/>
      <c r="D17" s="123"/>
      <c r="E17" s="124"/>
      <c r="F17" s="153">
        <f>+F16/F4</f>
        <v>0</v>
      </c>
    </row>
    <row r="18" spans="1:6" x14ac:dyDescent="0.25">
      <c r="A18" s="146" t="s">
        <v>228</v>
      </c>
      <c r="B18" s="147"/>
      <c r="C18" s="147"/>
      <c r="D18" s="147"/>
      <c r="E18" s="148"/>
      <c r="F18" s="154">
        <v>0.35</v>
      </c>
    </row>
    <row r="19" spans="1:6" x14ac:dyDescent="0.25">
      <c r="A19" s="119" t="s">
        <v>229</v>
      </c>
      <c r="B19" s="123"/>
      <c r="C19" s="123"/>
      <c r="D19" s="123"/>
      <c r="E19" s="124"/>
      <c r="F19" s="151">
        <f>+F17/F18</f>
        <v>0</v>
      </c>
    </row>
    <row r="20" spans="1:6" x14ac:dyDescent="0.25">
      <c r="A20" s="146" t="s">
        <v>230</v>
      </c>
      <c r="B20" s="147"/>
      <c r="C20" s="147"/>
      <c r="D20" s="147"/>
      <c r="E20" s="148"/>
      <c r="F20" s="149">
        <f>ROUNDUP(F19,-2)</f>
        <v>0</v>
      </c>
    </row>
    <row r="21" spans="1:6" x14ac:dyDescent="0.25">
      <c r="A21" s="155" t="s">
        <v>231</v>
      </c>
      <c r="B21" s="156"/>
      <c r="C21" s="156"/>
      <c r="D21" s="156"/>
      <c r="E21" s="157"/>
      <c r="F21" s="158" t="e">
        <f>+F17/F20</f>
        <v>#DIV/0!</v>
      </c>
    </row>
    <row r="22" spans="1:6" x14ac:dyDescent="0.25">
      <c r="A22" s="146" t="s">
        <v>232</v>
      </c>
      <c r="B22" s="147"/>
      <c r="C22" s="147"/>
      <c r="D22" s="148"/>
      <c r="E22" s="159">
        <v>0.08</v>
      </c>
      <c r="F22" s="152">
        <f>+F20*E22</f>
        <v>0</v>
      </c>
    </row>
    <row r="23" spans="1:6" ht="15.75" customHeight="1" x14ac:dyDescent="0.25">
      <c r="A23" s="119" t="s">
        <v>233</v>
      </c>
      <c r="B23" s="123"/>
      <c r="C23" s="123"/>
      <c r="D23" s="123"/>
      <c r="E23" s="124"/>
      <c r="F23" s="160">
        <f>+F20+F22</f>
        <v>0</v>
      </c>
    </row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</sheetData>
  <mergeCells count="13">
    <mergeCell ref="A23:E23"/>
    <mergeCell ref="A17:E17"/>
    <mergeCell ref="A18:E18"/>
    <mergeCell ref="A19:E19"/>
    <mergeCell ref="A20:E20"/>
    <mergeCell ref="A21:E21"/>
    <mergeCell ref="A22:D22"/>
    <mergeCell ref="A1:F1"/>
    <mergeCell ref="A2:F2"/>
    <mergeCell ref="A3:D4"/>
    <mergeCell ref="A14:E14"/>
    <mergeCell ref="A15:D15"/>
    <mergeCell ref="A16:E16"/>
  </mergeCells>
  <hyperlinks>
    <hyperlink ref="H2" location="'LISTA MAESTRA'!A1" display="LISTA MAESTRA" xr:uid="{A83A4575-A3CF-43AF-B799-8D5D4176B03F}"/>
    <hyperlink ref="I2" location="'RECETA BASE'!A1" display="'RECETA BASE'" xr:uid="{F255B8E0-D3FD-48B3-93EA-C994B864265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LISTA MAESTRA</vt:lpstr>
      <vt:lpstr>PLATOS</vt:lpstr>
      <vt:lpstr>BEBIDAS</vt:lpstr>
      <vt:lpstr>RECETA BASE</vt:lpstr>
      <vt:lpstr>ESTANDAR REFRESCANTES</vt:lpstr>
      <vt:lpstr>BEBIDAS CALIENTES</vt:lpstr>
      <vt:lpstr>BEBIDAS DE LICOR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Angarita</dc:creator>
  <cp:lastModifiedBy>Esteban Angarita</cp:lastModifiedBy>
  <dcterms:created xsi:type="dcterms:W3CDTF">2025-10-04T19:08:01Z</dcterms:created>
  <dcterms:modified xsi:type="dcterms:W3CDTF">2025-10-04T19:14:04Z</dcterms:modified>
</cp:coreProperties>
</file>