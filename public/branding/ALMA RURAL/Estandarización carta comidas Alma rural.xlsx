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Estudiante\Desktop\ALMA RURAL\"/>
    </mc:Choice>
  </mc:AlternateContent>
  <xr:revisionPtr revIDLastSave="0" documentId="13_ncr:1_{2B8D53CE-4119-40DE-968C-6ABC18605211}" xr6:coauthVersionLast="47" xr6:coauthVersionMax="47" xr10:uidLastSave="{00000000-0000-0000-0000-000000000000}"/>
  <bookViews>
    <workbookView xWindow="-120" yWindow="-120" windowWidth="20730" windowHeight="11760" firstSheet="4" activeTab="6" xr2:uid="{00000000-000D-0000-FFFF-FFFF00000000}"/>
  </bookViews>
  <sheets>
    <sheet name="PLATOS" sheetId="1" r:id="rId1"/>
    <sheet name="LISTA MAESTRA" sheetId="2" r:id="rId2"/>
    <sheet name="RECETA BASE" sheetId="3" r:id="rId3"/>
    <sheet name="ESTANDAR CAMPO" sheetId="4" r:id="rId4"/>
    <sheet name="ESTANDAR SALUDABLE" sheetId="13" r:id="rId5"/>
    <sheet name="ESTANDAR ENTRADAS" sheetId="14" r:id="rId6"/>
    <sheet name="AVES DEL CORRAL" sheetId="15" r:id="rId7"/>
    <sheet name="SABORES DE CERDO" sheetId="16" r:id="rId8"/>
    <sheet name="TESOROS DEL RIO" sheetId="17" r:id="rId9"/>
    <sheet name="CARNE DEL CORRAL" sheetId="18" r:id="rId10"/>
    <sheet name="VEGETARIANOS" sheetId="19" r:id="rId11"/>
    <sheet name="PRESUPUESTO" sheetId="5" r:id="rId12"/>
    <sheet name="SALSA DE AJO" sheetId="7" r:id="rId13"/>
    <sheet name="REDUCCIÓN BALSAMICO" sheetId="8" r:id="rId14"/>
    <sheet name="MIEL DE JENGIBRE" sheetId="10" r:id="rId15"/>
    <sheet name="DE LA CASA" sheetId="11" r:id="rId16"/>
  </sheets>
  <definedNames>
    <definedName name="arp" localSheetId="1">#REF!</definedName>
    <definedName name="arp" localSheetId="0">#REF!</definedName>
    <definedName name="arp">#REF!</definedName>
    <definedName name="Riesgo" localSheetId="1">#REF!</definedName>
    <definedName name="Riesgo" localSheetId="0">#REF!</definedName>
    <definedName name="Riesg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8" roundtripDataSignature="AMtx7mjF58JHwbhG4jXoeaTLmez5UTx1nA=="/>
    </ext>
  </extLst>
</workbook>
</file>

<file path=xl/calcChain.xml><?xml version="1.0" encoding="utf-8"?>
<calcChain xmlns="http://schemas.openxmlformats.org/spreadsheetml/2006/main">
  <c r="M30" i="15" l="1"/>
  <c r="L33" i="15"/>
  <c r="K30" i="15"/>
  <c r="E177" i="3"/>
  <c r="F177" i="3" s="1"/>
  <c r="D100" i="2"/>
  <c r="E173" i="3"/>
  <c r="D125" i="2"/>
  <c r="J10" i="5"/>
  <c r="E34" i="19"/>
  <c r="D124" i="2"/>
  <c r="F35" i="19"/>
  <c r="F36" i="19"/>
  <c r="E35" i="19"/>
  <c r="E33" i="19"/>
  <c r="E32" i="19"/>
  <c r="E25" i="1"/>
  <c r="E26" i="1"/>
  <c r="E23" i="1"/>
  <c r="E20" i="1"/>
  <c r="E19" i="1"/>
  <c r="E18" i="1"/>
  <c r="E14" i="1"/>
  <c r="E15" i="1"/>
  <c r="E13" i="1"/>
  <c r="E7" i="1"/>
  <c r="E8" i="1"/>
  <c r="E9" i="1"/>
  <c r="E10" i="1"/>
  <c r="D15" i="2"/>
  <c r="D108" i="2"/>
  <c r="E298" i="3" s="1"/>
  <c r="F298" i="3" s="1"/>
  <c r="D40" i="2"/>
  <c r="F58" i="18"/>
  <c r="F59" i="18"/>
  <c r="F60" i="18"/>
  <c r="F61" i="18"/>
  <c r="F62" i="18"/>
  <c r="F63" i="18"/>
  <c r="F57" i="18"/>
  <c r="E61" i="18"/>
  <c r="E60" i="18"/>
  <c r="E59" i="18"/>
  <c r="E58" i="18"/>
  <c r="E57" i="19"/>
  <c r="E56" i="19"/>
  <c r="F56" i="19" s="1"/>
  <c r="F57" i="19"/>
  <c r="F55" i="19"/>
  <c r="E55" i="19"/>
  <c r="E9" i="19"/>
  <c r="E8" i="19"/>
  <c r="F8" i="19" s="1"/>
  <c r="D123" i="2"/>
  <c r="F9" i="19"/>
  <c r="F10" i="19"/>
  <c r="F11" i="19"/>
  <c r="F12" i="19"/>
  <c r="F13" i="19"/>
  <c r="F14" i="19"/>
  <c r="E7" i="19"/>
  <c r="F7" i="19" s="1"/>
  <c r="F139" i="18"/>
  <c r="F140" i="18"/>
  <c r="F141" i="18"/>
  <c r="F142" i="18"/>
  <c r="F143" i="18"/>
  <c r="F144" i="18"/>
  <c r="F145" i="18"/>
  <c r="F146" i="18"/>
  <c r="F138" i="18"/>
  <c r="E146" i="18"/>
  <c r="E145" i="18"/>
  <c r="E144" i="18"/>
  <c r="E142" i="18"/>
  <c r="E141" i="18"/>
  <c r="E140" i="18"/>
  <c r="E143" i="18"/>
  <c r="F111" i="18"/>
  <c r="F118" i="18"/>
  <c r="F110" i="18"/>
  <c r="E118" i="18"/>
  <c r="E117" i="18"/>
  <c r="F117" i="18" s="1"/>
  <c r="E116" i="18"/>
  <c r="F116" i="18" s="1"/>
  <c r="E115" i="18"/>
  <c r="F115" i="18" s="1"/>
  <c r="E114" i="18"/>
  <c r="F114" i="18" s="1"/>
  <c r="E113" i="18"/>
  <c r="F113" i="18" s="1"/>
  <c r="E112" i="18"/>
  <c r="F112" i="18" s="1"/>
  <c r="E92" i="18"/>
  <c r="F92" i="18" s="1"/>
  <c r="E91" i="18"/>
  <c r="F91" i="18" s="1"/>
  <c r="E90" i="18"/>
  <c r="E89" i="18"/>
  <c r="F89" i="18" s="1"/>
  <c r="E88" i="18"/>
  <c r="F88" i="18" s="1"/>
  <c r="F85" i="18"/>
  <c r="F90" i="18"/>
  <c r="F93" i="18"/>
  <c r="E87" i="18"/>
  <c r="F87" i="18" s="1"/>
  <c r="B6" i="1"/>
  <c r="E86" i="18"/>
  <c r="F86" i="18" s="1"/>
  <c r="E84" i="18"/>
  <c r="F84" i="18" s="1"/>
  <c r="F36" i="18"/>
  <c r="F38" i="18"/>
  <c r="F39" i="18"/>
  <c r="E37" i="18"/>
  <c r="F37" i="18" s="1"/>
  <c r="E34" i="18"/>
  <c r="F34" i="18" s="1"/>
  <c r="E33" i="18"/>
  <c r="E32" i="18"/>
  <c r="E11" i="18"/>
  <c r="F11" i="18" s="1"/>
  <c r="E8" i="18"/>
  <c r="F8" i="18" s="1"/>
  <c r="F10" i="18"/>
  <c r="F12" i="18"/>
  <c r="F13" i="18"/>
  <c r="E7" i="18"/>
  <c r="F7" i="18" s="1"/>
  <c r="E6" i="18"/>
  <c r="F6" i="18" s="1"/>
  <c r="E183" i="17"/>
  <c r="F183" i="17" s="1"/>
  <c r="D69" i="2"/>
  <c r="E181" i="17"/>
  <c r="F181" i="17" s="1"/>
  <c r="E179" i="17"/>
  <c r="F179" i="17" s="1"/>
  <c r="E177" i="17"/>
  <c r="F177" i="17" s="1"/>
  <c r="E176" i="17"/>
  <c r="F176" i="17" s="1"/>
  <c r="E175" i="17"/>
  <c r="E174" i="17"/>
  <c r="F174" i="17" s="1"/>
  <c r="E173" i="17"/>
  <c r="F173" i="17" s="1"/>
  <c r="E431" i="3"/>
  <c r="F431" i="3" s="1"/>
  <c r="E430" i="3"/>
  <c r="F430" i="3" s="1"/>
  <c r="E429" i="3"/>
  <c r="F429" i="3" s="1"/>
  <c r="E428" i="3"/>
  <c r="F428" i="3" s="1"/>
  <c r="F435" i="3"/>
  <c r="F434" i="3"/>
  <c r="F433" i="3"/>
  <c r="F432" i="3"/>
  <c r="F172" i="17"/>
  <c r="F175" i="17"/>
  <c r="F178" i="17"/>
  <c r="F180" i="17"/>
  <c r="E172" i="17"/>
  <c r="E171" i="17"/>
  <c r="F171" i="17" s="1"/>
  <c r="E152" i="17"/>
  <c r="F152" i="17" s="1"/>
  <c r="E151" i="17"/>
  <c r="F151" i="17" s="1"/>
  <c r="E149" i="17"/>
  <c r="F149" i="17" s="1"/>
  <c r="E148" i="17"/>
  <c r="E147" i="17"/>
  <c r="E146" i="17"/>
  <c r="F146" i="17" s="1"/>
  <c r="E145" i="17"/>
  <c r="D122" i="2"/>
  <c r="E144" i="17"/>
  <c r="F144" i="17" s="1"/>
  <c r="F143" i="17"/>
  <c r="F145" i="17"/>
  <c r="F147" i="17"/>
  <c r="F148" i="17"/>
  <c r="F150" i="17"/>
  <c r="F153" i="17"/>
  <c r="E143" i="17"/>
  <c r="E142" i="17"/>
  <c r="F142" i="17" s="1"/>
  <c r="E124" i="17"/>
  <c r="F124" i="17" s="1"/>
  <c r="E123" i="17"/>
  <c r="E122" i="17"/>
  <c r="E121" i="17"/>
  <c r="F121" i="17" s="1"/>
  <c r="E120" i="17"/>
  <c r="F120" i="17" s="1"/>
  <c r="E119" i="17"/>
  <c r="F119" i="17" s="1"/>
  <c r="E116" i="17"/>
  <c r="F116" i="17" s="1"/>
  <c r="F115" i="17"/>
  <c r="F122" i="17"/>
  <c r="F123" i="17"/>
  <c r="E115" i="17"/>
  <c r="E114" i="17"/>
  <c r="F114" i="17" s="1"/>
  <c r="E95" i="17"/>
  <c r="F95" i="17" s="1"/>
  <c r="E93" i="17"/>
  <c r="F93" i="17" s="1"/>
  <c r="E92" i="17"/>
  <c r="E91" i="17"/>
  <c r="F91" i="17" s="1"/>
  <c r="E90" i="17"/>
  <c r="F90" i="17" s="1"/>
  <c r="E88" i="17"/>
  <c r="F88" i="17" s="1"/>
  <c r="E87" i="17"/>
  <c r="F87" i="17" s="1"/>
  <c r="E86" i="17"/>
  <c r="F86" i="17" s="1"/>
  <c r="F92" i="17"/>
  <c r="F94" i="17"/>
  <c r="F96" i="17"/>
  <c r="E68" i="17"/>
  <c r="E67" i="17"/>
  <c r="F67" i="17" s="1"/>
  <c r="E66" i="17"/>
  <c r="F66" i="17" s="1"/>
  <c r="E65" i="17"/>
  <c r="E63" i="17"/>
  <c r="F63" i="17" s="1"/>
  <c r="F65" i="17"/>
  <c r="F68" i="17"/>
  <c r="E61" i="17"/>
  <c r="F61" i="17" s="1"/>
  <c r="E42" i="17"/>
  <c r="F42" i="17" s="1"/>
  <c r="E41" i="17"/>
  <c r="F41" i="17" s="1"/>
  <c r="E40" i="17"/>
  <c r="E39" i="17"/>
  <c r="F39" i="17" s="1"/>
  <c r="E38" i="17"/>
  <c r="F38" i="17" s="1"/>
  <c r="F40" i="17"/>
  <c r="F43" i="17"/>
  <c r="E37" i="17"/>
  <c r="F37" i="17" s="1"/>
  <c r="E36" i="17"/>
  <c r="E35" i="17"/>
  <c r="E13" i="17"/>
  <c r="E9" i="17"/>
  <c r="F9" i="17" s="1"/>
  <c r="E8" i="17"/>
  <c r="F8" i="17" s="1"/>
  <c r="F11" i="17"/>
  <c r="F12" i="17"/>
  <c r="F13" i="17"/>
  <c r="F14" i="17"/>
  <c r="F15" i="17"/>
  <c r="E7" i="17"/>
  <c r="F7" i="17" s="1"/>
  <c r="E6" i="17"/>
  <c r="F6" i="17" s="1"/>
  <c r="E9" i="16"/>
  <c r="F9" i="16" s="1"/>
  <c r="E8" i="16"/>
  <c r="F8" i="16" s="1"/>
  <c r="F7" i="16"/>
  <c r="F10" i="16"/>
  <c r="F11" i="16"/>
  <c r="F12" i="16"/>
  <c r="F6" i="16"/>
  <c r="E6" i="16"/>
  <c r="E82" i="15"/>
  <c r="F82" i="15" s="1"/>
  <c r="E81" i="15"/>
  <c r="F81" i="15" s="1"/>
  <c r="E80" i="15"/>
  <c r="F80" i="15" s="1"/>
  <c r="E78" i="15"/>
  <c r="F78" i="15" s="1"/>
  <c r="E77" i="15"/>
  <c r="F77" i="15" s="1"/>
  <c r="E76" i="15"/>
  <c r="F76" i="15" s="1"/>
  <c r="E58" i="15"/>
  <c r="F58" i="15" s="1"/>
  <c r="E56" i="15"/>
  <c r="F56" i="15" s="1"/>
  <c r="E55" i="15"/>
  <c r="F55" i="15" s="1"/>
  <c r="E54" i="15"/>
  <c r="F54" i="15" s="1"/>
  <c r="F59" i="15"/>
  <c r="E34" i="15"/>
  <c r="F34" i="15" s="1"/>
  <c r="D121" i="2"/>
  <c r="E33" i="15"/>
  <c r="F33" i="15" s="1"/>
  <c r="E32" i="15"/>
  <c r="F32" i="15" s="1"/>
  <c r="F31" i="15"/>
  <c r="F35" i="15"/>
  <c r="E31" i="15"/>
  <c r="E29" i="15"/>
  <c r="E8" i="15"/>
  <c r="F8" i="15" s="1"/>
  <c r="F9" i="15"/>
  <c r="F10" i="15"/>
  <c r="E7" i="15"/>
  <c r="F7" i="15" s="1"/>
  <c r="E56" i="14"/>
  <c r="F56" i="14" s="1"/>
  <c r="E55" i="14"/>
  <c r="F55" i="14" s="1"/>
  <c r="E54" i="14"/>
  <c r="F54" i="14" s="1"/>
  <c r="E53" i="14"/>
  <c r="F53" i="14" s="1"/>
  <c r="E52" i="14"/>
  <c r="F52" i="14" s="1"/>
  <c r="E51" i="14"/>
  <c r="F51" i="14" s="1"/>
  <c r="F49" i="14"/>
  <c r="F50" i="14"/>
  <c r="E49" i="14"/>
  <c r="F48" i="14"/>
  <c r="E48" i="14"/>
  <c r="C19" i="1"/>
  <c r="E28" i="14"/>
  <c r="F124" i="3"/>
  <c r="E124" i="3"/>
  <c r="C18" i="1"/>
  <c r="E8" i="14"/>
  <c r="F8" i="14" s="1"/>
  <c r="F7" i="14"/>
  <c r="F6" i="14"/>
  <c r="E7" i="14"/>
  <c r="E6" i="14"/>
  <c r="F51" i="13"/>
  <c r="E51" i="13"/>
  <c r="C14" i="1"/>
  <c r="E28" i="13"/>
  <c r="E32" i="13"/>
  <c r="F30" i="13"/>
  <c r="F32" i="13"/>
  <c r="F33" i="13"/>
  <c r="E30" i="13"/>
  <c r="E29" i="13"/>
  <c r="E8" i="13"/>
  <c r="F8" i="13" s="1"/>
  <c r="F9" i="13"/>
  <c r="E6" i="13"/>
  <c r="F6" i="13" s="1"/>
  <c r="E90" i="4"/>
  <c r="F90" i="4" s="1"/>
  <c r="E89" i="4"/>
  <c r="F89" i="4" s="1"/>
  <c r="E87" i="4"/>
  <c r="F84" i="4"/>
  <c r="F85" i="4"/>
  <c r="F86" i="4"/>
  <c r="F87" i="4"/>
  <c r="F91" i="4"/>
  <c r="E86" i="4"/>
  <c r="E85" i="4"/>
  <c r="E83" i="4"/>
  <c r="E64" i="4"/>
  <c r="F64" i="4" s="1"/>
  <c r="E62" i="4"/>
  <c r="F62" i="4" s="1"/>
  <c r="E61" i="4"/>
  <c r="F61" i="4" s="1"/>
  <c r="E60" i="4"/>
  <c r="F60" i="4" s="1"/>
  <c r="E59" i="4"/>
  <c r="F59" i="4" s="1"/>
  <c r="D120" i="2"/>
  <c r="F58" i="4"/>
  <c r="F57" i="4"/>
  <c r="E57" i="4"/>
  <c r="E36" i="4"/>
  <c r="E35" i="4"/>
  <c r="F35" i="4" s="1"/>
  <c r="F33" i="4"/>
  <c r="F34" i="4"/>
  <c r="F36" i="4"/>
  <c r="F38" i="4"/>
  <c r="F39" i="4"/>
  <c r="E34" i="4"/>
  <c r="E32" i="4"/>
  <c r="E31" i="4"/>
  <c r="E12" i="4"/>
  <c r="F12" i="4"/>
  <c r="E11" i="4"/>
  <c r="E9" i="4"/>
  <c r="F9" i="4" s="1"/>
  <c r="E8" i="4"/>
  <c r="F7" i="4"/>
  <c r="F8" i="4"/>
  <c r="F11" i="4"/>
  <c r="E7" i="4"/>
  <c r="F6" i="4"/>
  <c r="E6" i="4"/>
  <c r="E174" i="3"/>
  <c r="E241" i="3"/>
  <c r="E305" i="3"/>
  <c r="F305" i="3" s="1"/>
  <c r="F415" i="3"/>
  <c r="E415" i="3"/>
  <c r="F414" i="3"/>
  <c r="E414" i="3"/>
  <c r="E400" i="3"/>
  <c r="F400" i="3" s="1"/>
  <c r="E399" i="3"/>
  <c r="F399" i="3" s="1"/>
  <c r="E398" i="3"/>
  <c r="E397" i="3"/>
  <c r="E395" i="3"/>
  <c r="F395" i="3" s="1"/>
  <c r="E394" i="3"/>
  <c r="F394" i="3" s="1"/>
  <c r="E393" i="3"/>
  <c r="F393" i="3" s="1"/>
  <c r="E392" i="3"/>
  <c r="F392" i="3" s="1"/>
  <c r="E391" i="3"/>
  <c r="F391" i="3" s="1"/>
  <c r="E390" i="3"/>
  <c r="F390" i="3" s="1"/>
  <c r="F397" i="3"/>
  <c r="F398" i="3"/>
  <c r="E377" i="3"/>
  <c r="F377" i="3" s="1"/>
  <c r="E376" i="3"/>
  <c r="F376" i="3" s="1"/>
  <c r="E375" i="3"/>
  <c r="F375" i="3" s="1"/>
  <c r="F378" i="3"/>
  <c r="E374" i="3"/>
  <c r="F374" i="3" s="1"/>
  <c r="D119" i="2"/>
  <c r="E361" i="3"/>
  <c r="F361" i="3" s="1"/>
  <c r="E360" i="3"/>
  <c r="F360" i="3" s="1"/>
  <c r="E359" i="3"/>
  <c r="F359" i="3" s="1"/>
  <c r="E358" i="3"/>
  <c r="F358" i="3" s="1"/>
  <c r="F357" i="3"/>
  <c r="F362" i="3"/>
  <c r="E357" i="3"/>
  <c r="E356" i="3"/>
  <c r="F356" i="3" s="1"/>
  <c r="F342" i="3"/>
  <c r="F343" i="3"/>
  <c r="E343" i="3"/>
  <c r="E341" i="3"/>
  <c r="F341" i="3" s="1"/>
  <c r="E340" i="3"/>
  <c r="F340" i="3" s="1"/>
  <c r="E325" i="3"/>
  <c r="F325" i="3" s="1"/>
  <c r="E324" i="3"/>
  <c r="F324" i="3" s="1"/>
  <c r="E323" i="3"/>
  <c r="F323" i="3" s="1"/>
  <c r="F322" i="3"/>
  <c r="F283" i="3"/>
  <c r="F285" i="3"/>
  <c r="F286" i="3"/>
  <c r="F280" i="3"/>
  <c r="E286" i="3"/>
  <c r="E284" i="3"/>
  <c r="F284" i="3" s="1"/>
  <c r="E283" i="3"/>
  <c r="E282" i="3"/>
  <c r="F282" i="3" s="1"/>
  <c r="E281" i="3"/>
  <c r="F281" i="3" s="1"/>
  <c r="E280" i="3"/>
  <c r="E266" i="3"/>
  <c r="F266" i="3" s="1"/>
  <c r="E265" i="3"/>
  <c r="F265" i="3" s="1"/>
  <c r="F264" i="3"/>
  <c r="E264" i="3"/>
  <c r="E263" i="3"/>
  <c r="F263" i="3" s="1"/>
  <c r="E262" i="3"/>
  <c r="F262" i="3" s="1"/>
  <c r="D118" i="2"/>
  <c r="E261" i="3"/>
  <c r="F261" i="3" s="1"/>
  <c r="E260" i="3"/>
  <c r="F260" i="3" s="1"/>
  <c r="F241" i="3"/>
  <c r="F244" i="3"/>
  <c r="F247" i="3"/>
  <c r="F248" i="3"/>
  <c r="E246" i="3"/>
  <c r="F246" i="3" s="1"/>
  <c r="E245" i="3"/>
  <c r="F245" i="3" s="1"/>
  <c r="E244" i="3"/>
  <c r="E243" i="3"/>
  <c r="F243" i="3" s="1"/>
  <c r="E242" i="3"/>
  <c r="F242" i="3" s="1"/>
  <c r="E240" i="3"/>
  <c r="E239" i="3"/>
  <c r="E226" i="3"/>
  <c r="E225" i="3"/>
  <c r="E212" i="3"/>
  <c r="E211" i="3"/>
  <c r="E210" i="3"/>
  <c r="E198" i="3"/>
  <c r="F198" i="3" s="1"/>
  <c r="F196" i="3"/>
  <c r="F197" i="3"/>
  <c r="E197" i="3"/>
  <c r="E196" i="3"/>
  <c r="E195" i="3"/>
  <c r="F195" i="3" s="1"/>
  <c r="E194" i="3"/>
  <c r="E193" i="3"/>
  <c r="E176" i="3"/>
  <c r="F176" i="3" s="1"/>
  <c r="E175" i="3"/>
  <c r="F175" i="3" s="1"/>
  <c r="F174" i="3"/>
  <c r="F178" i="3"/>
  <c r="F179" i="3"/>
  <c r="F180" i="3"/>
  <c r="F173" i="3"/>
  <c r="E157" i="3"/>
  <c r="F157" i="3" s="1"/>
  <c r="E156" i="3"/>
  <c r="F156" i="3" s="1"/>
  <c r="E309" i="3"/>
  <c r="F309" i="3" s="1"/>
  <c r="E308" i="3"/>
  <c r="F308" i="3" s="1"/>
  <c r="E307" i="3"/>
  <c r="F307" i="3" s="1"/>
  <c r="E306" i="3"/>
  <c r="F306" i="3" s="1"/>
  <c r="E304" i="3"/>
  <c r="F304" i="3" s="1"/>
  <c r="E303" i="3"/>
  <c r="F303" i="3" s="1"/>
  <c r="F301" i="3"/>
  <c r="F310" i="3"/>
  <c r="E302" i="3"/>
  <c r="F302" i="3" s="1"/>
  <c r="E301" i="3"/>
  <c r="E300" i="3"/>
  <c r="F300" i="3" s="1"/>
  <c r="E299" i="3"/>
  <c r="F299" i="3" s="1"/>
  <c r="F158" i="3"/>
  <c r="F159" i="3"/>
  <c r="F160" i="3"/>
  <c r="F161" i="3"/>
  <c r="E154" i="3"/>
  <c r="F154" i="3" s="1"/>
  <c r="D60" i="2"/>
  <c r="E153" i="3"/>
  <c r="E152" i="3"/>
  <c r="E151" i="3"/>
  <c r="E137" i="3"/>
  <c r="E136" i="3"/>
  <c r="F119" i="3"/>
  <c r="F120" i="3"/>
  <c r="F121" i="3"/>
  <c r="E123" i="3"/>
  <c r="F123" i="3" s="1"/>
  <c r="E122" i="3"/>
  <c r="F122" i="3" s="1"/>
  <c r="E121" i="3"/>
  <c r="E120" i="3"/>
  <c r="E118" i="3"/>
  <c r="E117" i="3"/>
  <c r="E116" i="3"/>
  <c r="E103" i="3"/>
  <c r="E102" i="3"/>
  <c r="D59" i="2"/>
  <c r="F88" i="3"/>
  <c r="F89" i="3"/>
  <c r="E87" i="3"/>
  <c r="F87" i="3" s="1"/>
  <c r="E86" i="3"/>
  <c r="F86" i="3" s="1"/>
  <c r="E85" i="3"/>
  <c r="D50" i="2"/>
  <c r="E84" i="3" s="1"/>
  <c r="E83" i="3"/>
  <c r="E69" i="3"/>
  <c r="D101" i="2"/>
  <c r="E68" i="3" s="1"/>
  <c r="E53" i="3"/>
  <c r="E52" i="3"/>
  <c r="D117" i="2"/>
  <c r="E51" i="3"/>
  <c r="E50" i="3"/>
  <c r="E49" i="3"/>
  <c r="E48" i="3"/>
  <c r="D87" i="2"/>
  <c r="E29" i="3" s="1"/>
  <c r="F29" i="3" s="1"/>
  <c r="E6" i="3"/>
  <c r="D116" i="2"/>
  <c r="D115" i="2"/>
  <c r="D114" i="2"/>
  <c r="D113" i="2"/>
  <c r="D112" i="2"/>
  <c r="D111" i="2"/>
  <c r="D110" i="2"/>
  <c r="D109" i="2"/>
  <c r="D107" i="2"/>
  <c r="D105" i="2"/>
  <c r="D104" i="2"/>
  <c r="D103" i="2"/>
  <c r="D102" i="2"/>
  <c r="D99" i="2"/>
  <c r="D98" i="2"/>
  <c r="D97" i="2"/>
  <c r="D96" i="2"/>
  <c r="D95" i="2"/>
  <c r="D81" i="2"/>
  <c r="D76" i="2"/>
  <c r="D75" i="2"/>
  <c r="D74" i="2"/>
  <c r="D68" i="2"/>
  <c r="D67" i="2"/>
  <c r="D66" i="2"/>
  <c r="D58" i="2"/>
  <c r="D57" i="2"/>
  <c r="D56" i="2"/>
  <c r="D55" i="2"/>
  <c r="D54" i="2"/>
  <c r="D53" i="2"/>
  <c r="D52" i="2"/>
  <c r="D51" i="2"/>
  <c r="D49" i="2"/>
  <c r="D48" i="2"/>
  <c r="D47" i="2"/>
  <c r="D46" i="2"/>
  <c r="D45" i="2"/>
  <c r="D44" i="2"/>
  <c r="D43" i="2"/>
  <c r="D31" i="2"/>
  <c r="D25" i="2"/>
  <c r="D27" i="2"/>
  <c r="F436" i="3" l="1"/>
  <c r="F417" i="3"/>
  <c r="D88" i="2"/>
  <c r="F48" i="3"/>
  <c r="F49" i="3"/>
  <c r="F50" i="3"/>
  <c r="F51" i="3"/>
  <c r="F52" i="3"/>
  <c r="F53" i="3"/>
  <c r="E45" i="3"/>
  <c r="F45" i="3" s="1"/>
  <c r="E44" i="3"/>
  <c r="F44" i="3" s="1"/>
  <c r="E30" i="3"/>
  <c r="F30" i="3" s="1"/>
  <c r="E28" i="3"/>
  <c r="F28" i="3" s="1"/>
  <c r="E27" i="3"/>
  <c r="F27" i="3" s="1"/>
  <c r="E11" i="3"/>
  <c r="F11" i="3" s="1"/>
  <c r="E10" i="3"/>
  <c r="F10" i="3" s="1"/>
  <c r="E8" i="3"/>
  <c r="F8" i="3" s="1"/>
  <c r="F379" i="3"/>
  <c r="F382" i="3" s="1"/>
  <c r="F363" i="3"/>
  <c r="F366" i="3" s="1"/>
  <c r="F345" i="3"/>
  <c r="F348" i="3" s="1"/>
  <c r="E326" i="3" s="1"/>
  <c r="F326" i="3" s="1"/>
  <c r="F329" i="3" s="1"/>
  <c r="F332" i="3" s="1"/>
  <c r="F311" i="3"/>
  <c r="F314" i="3" s="1"/>
  <c r="F287" i="3"/>
  <c r="F290" i="3" s="1"/>
  <c r="F269" i="3"/>
  <c r="F240" i="3"/>
  <c r="F239" i="3"/>
  <c r="F226" i="3"/>
  <c r="F225" i="3"/>
  <c r="D42" i="2"/>
  <c r="D41" i="2"/>
  <c r="E192" i="3"/>
  <c r="F192" i="3" s="1"/>
  <c r="D39" i="2"/>
  <c r="E26" i="3" s="1"/>
  <c r="F26" i="3" s="1"/>
  <c r="D38" i="2"/>
  <c r="D37" i="2"/>
  <c r="D11" i="2"/>
  <c r="D10" i="2"/>
  <c r="D26" i="2"/>
  <c r="D14" i="2"/>
  <c r="F33" i="19"/>
  <c r="F32" i="19"/>
  <c r="F212" i="3"/>
  <c r="F211" i="3"/>
  <c r="F210" i="3"/>
  <c r="F148" i="18"/>
  <c r="F122" i="18"/>
  <c r="F94" i="18"/>
  <c r="C44" i="1" s="1"/>
  <c r="E44" i="1" s="1"/>
  <c r="F68" i="18"/>
  <c r="F33" i="18"/>
  <c r="F32" i="18"/>
  <c r="F155" i="17"/>
  <c r="C37" i="1" s="1"/>
  <c r="E37" i="1" s="1"/>
  <c r="F36" i="17"/>
  <c r="F35" i="17"/>
  <c r="F15" i="16"/>
  <c r="C29" i="1" s="1"/>
  <c r="F194" i="3"/>
  <c r="F193" i="3"/>
  <c r="F153" i="3"/>
  <c r="F152" i="3"/>
  <c r="F151" i="3"/>
  <c r="F29" i="15"/>
  <c r="F138" i="3"/>
  <c r="F137" i="3"/>
  <c r="F136" i="3"/>
  <c r="F118" i="3"/>
  <c r="F117" i="3"/>
  <c r="F116" i="3"/>
  <c r="F104" i="3"/>
  <c r="F103" i="3"/>
  <c r="F102" i="3"/>
  <c r="F58" i="14"/>
  <c r="F28" i="14"/>
  <c r="F10" i="14"/>
  <c r="F53" i="13"/>
  <c r="C15" i="1" s="1"/>
  <c r="F29" i="13"/>
  <c r="D9" i="2"/>
  <c r="D80" i="2"/>
  <c r="D94" i="2"/>
  <c r="D93" i="2"/>
  <c r="D65" i="2"/>
  <c r="D64" i="2"/>
  <c r="D92" i="2"/>
  <c r="D91" i="2"/>
  <c r="D90" i="2"/>
  <c r="D89" i="2"/>
  <c r="E182" i="17"/>
  <c r="F182" i="17" s="1"/>
  <c r="F185" i="17" s="1"/>
  <c r="C38" i="1" s="1"/>
  <c r="E38" i="1" s="1"/>
  <c r="F70" i="3"/>
  <c r="D30" i="2"/>
  <c r="D36" i="2"/>
  <c r="D73" i="2"/>
  <c r="D8" i="2"/>
  <c r="D24" i="2"/>
  <c r="D23" i="2"/>
  <c r="D22" i="2"/>
  <c r="D21" i="2"/>
  <c r="D7" i="2"/>
  <c r="D6" i="2"/>
  <c r="D35" i="2"/>
  <c r="D34" i="2"/>
  <c r="E7" i="3" s="1"/>
  <c r="F7" i="3" s="1"/>
  <c r="D86" i="2"/>
  <c r="D33" i="2"/>
  <c r="D72" i="2"/>
  <c r="E47" i="3" s="1"/>
  <c r="F47" i="3" s="1"/>
  <c r="D63" i="2"/>
  <c r="D62" i="2"/>
  <c r="D85" i="2"/>
  <c r="F68" i="3" s="1"/>
  <c r="F20" i="5"/>
  <c r="C6" i="5"/>
  <c r="C17" i="5" s="1"/>
  <c r="G13" i="5" s="1"/>
  <c r="G17" i="5" s="1"/>
  <c r="F31" i="3"/>
  <c r="F85" i="3"/>
  <c r="F84" i="3"/>
  <c r="F83" i="3"/>
  <c r="G6" i="5"/>
  <c r="G4" i="5"/>
  <c r="J14" i="5"/>
  <c r="F83" i="4"/>
  <c r="F32" i="4"/>
  <c r="F31" i="4"/>
  <c r="A24" i="1"/>
  <c r="A25" i="1" s="1"/>
  <c r="A26" i="1" s="1"/>
  <c r="A19" i="1"/>
  <c r="A20" i="1" s="1"/>
  <c r="A7" i="1"/>
  <c r="A8" i="1" s="1"/>
  <c r="A9" i="1" s="1"/>
  <c r="A10" i="1" s="1"/>
  <c r="A14" i="1" s="1"/>
  <c r="A15" i="1" s="1"/>
  <c r="A50" i="1"/>
  <c r="A42" i="1"/>
  <c r="A43" i="1" s="1"/>
  <c r="A44" i="1" s="1"/>
  <c r="A45" i="1" s="1"/>
  <c r="A46" i="1" s="1"/>
  <c r="E155" i="3" l="1"/>
  <c r="F155" i="3" s="1"/>
  <c r="E35" i="18"/>
  <c r="F35" i="18" s="1"/>
  <c r="E57" i="15"/>
  <c r="F57" i="15" s="1"/>
  <c r="F60" i="15" s="1"/>
  <c r="E9" i="18"/>
  <c r="F9" i="18" s="1"/>
  <c r="F15" i="18" s="1"/>
  <c r="C41" i="1" s="1"/>
  <c r="E41" i="1" s="1"/>
  <c r="E58" i="19"/>
  <c r="F58" i="19" s="1"/>
  <c r="F60" i="19" s="1"/>
  <c r="E10" i="17"/>
  <c r="F10" i="17" s="1"/>
  <c r="F18" i="17" s="1"/>
  <c r="C32" i="1" s="1"/>
  <c r="E32" i="1" s="1"/>
  <c r="F123" i="18"/>
  <c r="C45" i="1"/>
  <c r="E45" i="1" s="1"/>
  <c r="F149" i="18"/>
  <c r="F150" i="18" s="1"/>
  <c r="F151" i="18" s="1"/>
  <c r="C46" i="1"/>
  <c r="E46" i="1" s="1"/>
  <c r="F69" i="18"/>
  <c r="F70" i="18" s="1"/>
  <c r="F71" i="18" s="1"/>
  <c r="F73" i="18" s="1"/>
  <c r="F74" i="18" s="1"/>
  <c r="C43" i="1"/>
  <c r="E43" i="1" s="1"/>
  <c r="F439" i="3"/>
  <c r="F437" i="3"/>
  <c r="F438" i="3" s="1"/>
  <c r="F440" i="3" s="1"/>
  <c r="F61" i="15"/>
  <c r="F62" i="15" s="1"/>
  <c r="F63" i="15" s="1"/>
  <c r="F65" i="15" s="1"/>
  <c r="F66" i="15" s="1"/>
  <c r="F67" i="15" s="1"/>
  <c r="C25" i="1"/>
  <c r="F59" i="14"/>
  <c r="F60" i="14" s="1"/>
  <c r="F61" i="14" s="1"/>
  <c r="F63" i="14" s="1"/>
  <c r="F64" i="14" s="1"/>
  <c r="F65" i="14" s="1"/>
  <c r="C20" i="1"/>
  <c r="F420" i="3"/>
  <c r="E396" i="3" s="1"/>
  <c r="F396" i="3" s="1"/>
  <c r="F403" i="3" s="1"/>
  <c r="F406" i="3" s="1"/>
  <c r="F418" i="3"/>
  <c r="F419" i="3" s="1"/>
  <c r="F421" i="3" s="1"/>
  <c r="F38" i="19"/>
  <c r="E46" i="3"/>
  <c r="F46" i="3" s="1"/>
  <c r="E12" i="3"/>
  <c r="F12" i="3" s="1"/>
  <c r="E9" i="3"/>
  <c r="F9" i="3" s="1"/>
  <c r="F6" i="3"/>
  <c r="F364" i="3"/>
  <c r="F365" i="3" s="1"/>
  <c r="F367" i="3" s="1"/>
  <c r="F404" i="3"/>
  <c r="F405" i="3" s="1"/>
  <c r="F407" i="3" s="1"/>
  <c r="F40" i="18"/>
  <c r="F186" i="17"/>
  <c r="F187" i="17" s="1"/>
  <c r="F188" i="17" s="1"/>
  <c r="F380" i="3"/>
  <c r="F381" i="3" s="1"/>
  <c r="F383" i="3" s="1"/>
  <c r="F44" i="17"/>
  <c r="F346" i="3"/>
  <c r="F347" i="3" s="1"/>
  <c r="F349" i="3" s="1"/>
  <c r="F330" i="3"/>
  <c r="F331" i="3" s="1"/>
  <c r="F333" i="3" s="1"/>
  <c r="F312" i="3"/>
  <c r="F313" i="3" s="1"/>
  <c r="F315" i="3" s="1"/>
  <c r="F288" i="3"/>
  <c r="F289" i="3" s="1"/>
  <c r="F291" i="3" s="1"/>
  <c r="F272" i="3"/>
  <c r="F270" i="3"/>
  <c r="F271" i="3" s="1"/>
  <c r="F273" i="3" s="1"/>
  <c r="F228" i="3"/>
  <c r="F229" i="3" s="1"/>
  <c r="F230" i="3" s="1"/>
  <c r="F232" i="3" s="1"/>
  <c r="F249" i="3"/>
  <c r="F252" i="3" s="1"/>
  <c r="F199" i="3"/>
  <c r="F202" i="3" s="1"/>
  <c r="F214" i="3"/>
  <c r="F215" i="3" s="1"/>
  <c r="F216" i="3" s="1"/>
  <c r="F140" i="3"/>
  <c r="F143" i="3" s="1"/>
  <c r="F162" i="3"/>
  <c r="F163" i="3" s="1"/>
  <c r="F164" i="3" s="1"/>
  <c r="F166" i="3" s="1"/>
  <c r="F181" i="3"/>
  <c r="F184" i="3" s="1"/>
  <c r="F105" i="3"/>
  <c r="F106" i="3" s="1"/>
  <c r="F125" i="3"/>
  <c r="F128" i="3" s="1"/>
  <c r="E27" i="14" s="1"/>
  <c r="F27" i="14" s="1"/>
  <c r="F31" i="14" s="1"/>
  <c r="F32" i="14" s="1"/>
  <c r="F33" i="14" s="1"/>
  <c r="F34" i="14" s="1"/>
  <c r="F153" i="18"/>
  <c r="F154" i="18" s="1"/>
  <c r="F95" i="18"/>
  <c r="F96" i="18" s="1"/>
  <c r="F97" i="18" s="1"/>
  <c r="F124" i="18"/>
  <c r="F125" i="18" s="1"/>
  <c r="F156" i="17"/>
  <c r="F157" i="17" s="1"/>
  <c r="F158" i="17" s="1"/>
  <c r="F16" i="16"/>
  <c r="F17" i="16" s="1"/>
  <c r="F18" i="16" s="1"/>
  <c r="F11" i="14"/>
  <c r="F12" i="14" s="1"/>
  <c r="F13" i="14" s="1"/>
  <c r="F54" i="13"/>
  <c r="F55" i="13" s="1"/>
  <c r="F56" i="13" s="1"/>
  <c r="G5" i="5"/>
  <c r="C21" i="5"/>
  <c r="G8" i="5" s="1"/>
  <c r="G9" i="5" s="1"/>
  <c r="A33" i="1"/>
  <c r="A34" i="1" s="1"/>
  <c r="A35" i="1" s="1"/>
  <c r="A36" i="1" s="1"/>
  <c r="A37" i="1" s="1"/>
  <c r="A38" i="1" s="1"/>
  <c r="F69" i="3"/>
  <c r="F71" i="3" s="1"/>
  <c r="F74" i="3" s="1"/>
  <c r="F90" i="3"/>
  <c r="F91" i="3" s="1"/>
  <c r="F92" i="3" s="1"/>
  <c r="F94" i="3" s="1"/>
  <c r="F32" i="3"/>
  <c r="F33" i="3" s="1"/>
  <c r="F34" i="3" s="1"/>
  <c r="F36" i="3" s="1"/>
  <c r="E117" i="17" l="1"/>
  <c r="F117" i="17" s="1"/>
  <c r="F126" i="17" s="1"/>
  <c r="E89" i="17"/>
  <c r="F89" i="17" s="1"/>
  <c r="F98" i="17" s="1"/>
  <c r="E64" i="17"/>
  <c r="F64" i="17" s="1"/>
  <c r="E30" i="15"/>
  <c r="F30" i="15" s="1"/>
  <c r="F37" i="15" s="1"/>
  <c r="F39" i="19"/>
  <c r="F40" i="19" s="1"/>
  <c r="F41" i="19" s="1"/>
  <c r="F43" i="19" s="1"/>
  <c r="F44" i="19" s="1"/>
  <c r="F45" i="19" s="1"/>
  <c r="C50" i="1"/>
  <c r="F19" i="17"/>
  <c r="F20" i="17" s="1"/>
  <c r="F21" i="17" s="1"/>
  <c r="F16" i="18"/>
  <c r="F17" i="18" s="1"/>
  <c r="F18" i="18" s="1"/>
  <c r="F61" i="19"/>
  <c r="F62" i="19" s="1"/>
  <c r="F63" i="19" s="1"/>
  <c r="F65" i="19" s="1"/>
  <c r="F66" i="19" s="1"/>
  <c r="C53" i="1"/>
  <c r="E53" i="1" s="1"/>
  <c r="E62" i="17"/>
  <c r="F62" i="17" s="1"/>
  <c r="F70" i="17" s="1"/>
  <c r="E6" i="19"/>
  <c r="F6" i="19" s="1"/>
  <c r="F15" i="19" s="1"/>
  <c r="E79" i="15"/>
  <c r="F79" i="15" s="1"/>
  <c r="F84" i="15" s="1"/>
  <c r="F41" i="18"/>
  <c r="F42" i="18" s="1"/>
  <c r="F43" i="18" s="1"/>
  <c r="F45" i="18" s="1"/>
  <c r="F46" i="18" s="1"/>
  <c r="F47" i="18" s="1"/>
  <c r="C42" i="1"/>
  <c r="E42" i="1" s="1"/>
  <c r="F45" i="17"/>
  <c r="F46" i="17" s="1"/>
  <c r="F47" i="17" s="1"/>
  <c r="C33" i="1"/>
  <c r="E33" i="1" s="1"/>
  <c r="F218" i="3"/>
  <c r="E31" i="13"/>
  <c r="F31" i="13" s="1"/>
  <c r="E7" i="13"/>
  <c r="F7" i="13" s="1"/>
  <c r="F11" i="13" s="1"/>
  <c r="F231" i="3"/>
  <c r="F14" i="3"/>
  <c r="F17" i="3" s="1"/>
  <c r="F18" i="3" s="1"/>
  <c r="F190" i="17"/>
  <c r="F191" i="17" s="1"/>
  <c r="F192" i="17" s="1"/>
  <c r="F165" i="3"/>
  <c r="E6" i="15" s="1"/>
  <c r="F6" i="15" s="1"/>
  <c r="F12" i="15" s="1"/>
  <c r="F200" i="3"/>
  <c r="F201" i="3" s="1"/>
  <c r="F203" i="3" s="1"/>
  <c r="F250" i="3"/>
  <c r="F251" i="3" s="1"/>
  <c r="F253" i="3" s="1"/>
  <c r="F217" i="3"/>
  <c r="F141" i="3"/>
  <c r="F142" i="3" s="1"/>
  <c r="F144" i="3" s="1"/>
  <c r="F126" i="3"/>
  <c r="F127" i="3" s="1"/>
  <c r="F129" i="3" s="1"/>
  <c r="F182" i="3"/>
  <c r="F183" i="3" s="1"/>
  <c r="F185" i="3" s="1"/>
  <c r="F107" i="3"/>
  <c r="F109" i="3" s="1"/>
  <c r="F108" i="3"/>
  <c r="F93" i="3"/>
  <c r="F68" i="19"/>
  <c r="F69" i="19" s="1"/>
  <c r="F99" i="18"/>
  <c r="F100" i="18" s="1"/>
  <c r="F20" i="18"/>
  <c r="F21" i="18" s="1"/>
  <c r="F22" i="18" s="1"/>
  <c r="F156" i="18"/>
  <c r="F157" i="18" s="1"/>
  <c r="F127" i="18"/>
  <c r="F128" i="18" s="1"/>
  <c r="F76" i="18"/>
  <c r="F77" i="18" s="1"/>
  <c r="F155" i="18"/>
  <c r="F75" i="18"/>
  <c r="F160" i="17"/>
  <c r="F161" i="17" s="1"/>
  <c r="F162" i="17" s="1"/>
  <c r="F49" i="17"/>
  <c r="F50" i="17" s="1"/>
  <c r="F23" i="17"/>
  <c r="F24" i="17" s="1"/>
  <c r="F25" i="17" s="1"/>
  <c r="F20" i="16"/>
  <c r="F21" i="16" s="1"/>
  <c r="F68" i="15"/>
  <c r="F69" i="15" s="1"/>
  <c r="F36" i="14"/>
  <c r="F37" i="14" s="1"/>
  <c r="F38" i="14" s="1"/>
  <c r="F15" i="14"/>
  <c r="F16" i="14" s="1"/>
  <c r="F66" i="14"/>
  <c r="F67" i="14" s="1"/>
  <c r="F58" i="13"/>
  <c r="F59" i="13" s="1"/>
  <c r="F60" i="13" s="1"/>
  <c r="F56" i="3"/>
  <c r="F57" i="3" s="1"/>
  <c r="F58" i="3" s="1"/>
  <c r="F72" i="3"/>
  <c r="F73" i="3" s="1"/>
  <c r="F75" i="3" s="1"/>
  <c r="F35" i="3"/>
  <c r="C35" i="1" l="1"/>
  <c r="E35" i="1" s="1"/>
  <c r="F99" i="17"/>
  <c r="F100" i="17" s="1"/>
  <c r="F101" i="17" s="1"/>
  <c r="F103" i="17" s="1"/>
  <c r="F104" i="17" s="1"/>
  <c r="F38" i="15"/>
  <c r="F39" i="15" s="1"/>
  <c r="F40" i="15" s="1"/>
  <c r="F42" i="15" s="1"/>
  <c r="F43" i="15" s="1"/>
  <c r="F44" i="15" s="1"/>
  <c r="C24" i="1"/>
  <c r="E24" i="1" s="1"/>
  <c r="C36" i="1"/>
  <c r="E36" i="1" s="1"/>
  <c r="F127" i="17"/>
  <c r="F128" i="17" s="1"/>
  <c r="F129" i="17" s="1"/>
  <c r="F131" i="17" s="1"/>
  <c r="F132" i="17" s="1"/>
  <c r="F133" i="17" s="1"/>
  <c r="F67" i="19"/>
  <c r="C23" i="1"/>
  <c r="F13" i="15"/>
  <c r="F14" i="15" s="1"/>
  <c r="F15" i="15" s="1"/>
  <c r="F17" i="15" s="1"/>
  <c r="F18" i="15" s="1"/>
  <c r="F19" i="15" s="1"/>
  <c r="F85" i="15"/>
  <c r="F86" i="15" s="1"/>
  <c r="F87" i="15" s="1"/>
  <c r="F89" i="15" s="1"/>
  <c r="F90" i="15" s="1"/>
  <c r="C26" i="1"/>
  <c r="F16" i="19"/>
  <c r="F17" i="19" s="1"/>
  <c r="F18" i="19" s="1"/>
  <c r="F20" i="19" s="1"/>
  <c r="F21" i="19" s="1"/>
  <c r="C49" i="1"/>
  <c r="E49" i="1" s="1"/>
  <c r="F71" i="17"/>
  <c r="F72" i="17" s="1"/>
  <c r="F73" i="17" s="1"/>
  <c r="F75" i="17" s="1"/>
  <c r="F76" i="17" s="1"/>
  <c r="C34" i="1"/>
  <c r="E34" i="1" s="1"/>
  <c r="F60" i="3"/>
  <c r="F28" i="13"/>
  <c r="F34" i="13" s="1"/>
  <c r="F35" i="13" s="1"/>
  <c r="F36" i="13" s="1"/>
  <c r="F37" i="13" s="1"/>
  <c r="F39" i="13" s="1"/>
  <c r="F40" i="13" s="1"/>
  <c r="C13" i="1"/>
  <c r="F12" i="13"/>
  <c r="F13" i="13" s="1"/>
  <c r="F14" i="13" s="1"/>
  <c r="F16" i="13" s="1"/>
  <c r="F17" i="13" s="1"/>
  <c r="F18" i="13" s="1"/>
  <c r="F15" i="3"/>
  <c r="F16" i="3" s="1"/>
  <c r="F193" i="17"/>
  <c r="F194" i="17" s="1"/>
  <c r="F46" i="19"/>
  <c r="F47" i="19" s="1"/>
  <c r="F102" i="18"/>
  <c r="F103" i="18" s="1"/>
  <c r="F130" i="18"/>
  <c r="F131" i="18" s="1"/>
  <c r="F129" i="18"/>
  <c r="F101" i="18"/>
  <c r="F23" i="18"/>
  <c r="F24" i="18" s="1"/>
  <c r="F48" i="18"/>
  <c r="F49" i="18" s="1"/>
  <c r="F163" i="17"/>
  <c r="F164" i="17" s="1"/>
  <c r="F134" i="17"/>
  <c r="F135" i="17" s="1"/>
  <c r="F52" i="17"/>
  <c r="F53" i="17" s="1"/>
  <c r="F26" i="17"/>
  <c r="F27" i="17" s="1"/>
  <c r="F51" i="17"/>
  <c r="F23" i="16"/>
  <c r="F24" i="16" s="1"/>
  <c r="F22" i="16"/>
  <c r="F45" i="15"/>
  <c r="F46" i="15" s="1"/>
  <c r="F18" i="14"/>
  <c r="F19" i="14" s="1"/>
  <c r="F17" i="14"/>
  <c r="F39" i="14"/>
  <c r="F40" i="14" s="1"/>
  <c r="F61" i="13"/>
  <c r="F62" i="13" s="1"/>
  <c r="F59" i="3"/>
  <c r="F105" i="17" l="1"/>
  <c r="F106" i="17"/>
  <c r="F107" i="17" s="1"/>
  <c r="F20" i="15"/>
  <c r="F21" i="15" s="1"/>
  <c r="F22" i="19"/>
  <c r="F23" i="19"/>
  <c r="F24" i="19" s="1"/>
  <c r="F77" i="17"/>
  <c r="F78" i="17"/>
  <c r="F79" i="17" s="1"/>
  <c r="F91" i="15"/>
  <c r="F92" i="15"/>
  <c r="F93" i="15" s="1"/>
  <c r="F41" i="13"/>
  <c r="F42" i="13"/>
  <c r="F43" i="13" s="1"/>
  <c r="E88" i="4"/>
  <c r="F88" i="4" s="1"/>
  <c r="F92" i="4" s="1"/>
  <c r="E37" i="4"/>
  <c r="F37" i="4" s="1"/>
  <c r="F40" i="4" s="1"/>
  <c r="E63" i="4"/>
  <c r="F63" i="4" s="1"/>
  <c r="F66" i="4" s="1"/>
  <c r="E10" i="4"/>
  <c r="F10" i="4" s="1"/>
  <c r="F14" i="4" s="1"/>
  <c r="F19" i="13"/>
  <c r="F20" i="13" s="1"/>
  <c r="F67" i="4" l="1"/>
  <c r="F68" i="4" s="1"/>
  <c r="F69" i="4" s="1"/>
  <c r="F71" i="4" s="1"/>
  <c r="F72" i="4" s="1"/>
  <c r="C8" i="1"/>
  <c r="F41" i="4"/>
  <c r="F42" i="4" s="1"/>
  <c r="F43" i="4" s="1"/>
  <c r="F45" i="4" s="1"/>
  <c r="F46" i="4" s="1"/>
  <c r="C7" i="1"/>
  <c r="F93" i="4"/>
  <c r="F94" i="4" s="1"/>
  <c r="F95" i="4" s="1"/>
  <c r="F97" i="4" s="1"/>
  <c r="F98" i="4" s="1"/>
  <c r="C9" i="1"/>
  <c r="C10" i="1"/>
  <c r="F15" i="4"/>
  <c r="F16" i="4" s="1"/>
  <c r="F17" i="4" s="1"/>
  <c r="F19" i="4" s="1"/>
  <c r="F20" i="4" s="1"/>
  <c r="F21" i="4" s="1"/>
  <c r="C6" i="1"/>
  <c r="E6" i="1" s="1"/>
  <c r="F99" i="4" l="1"/>
  <c r="F100" i="4"/>
  <c r="F101" i="4" s="1"/>
  <c r="F47" i="4"/>
  <c r="F48" i="4"/>
  <c r="F49" i="4" s="1"/>
  <c r="F73" i="4"/>
  <c r="F74" i="4"/>
  <c r="F75" i="4" s="1"/>
  <c r="F22" i="4"/>
  <c r="F23"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Estudiante</author>
  </authors>
  <commentList>
    <comment ref="A15" authorId="0" shapeId="0" xr:uid="{00000000-0006-0000-0200-000001000000}">
      <text>
        <r>
          <rPr>
            <sz val="11"/>
            <color theme="1"/>
            <rFont val="Calibri"/>
            <family val="2"/>
            <scheme val="minor"/>
          </rPr>
          <t>======
ID#AAAAiH6fAFw
Prestamo    (2022-10-24 12:57:41)
Nómada: es el porcentage que puede incrementar en precio un producto en un lapso determinado de tiempo.</t>
        </r>
      </text>
    </comment>
    <comment ref="B55" authorId="1" shapeId="0" xr:uid="{69AD2744-50FA-404C-A219-236D573ADA1A}">
      <text>
        <r>
          <rPr>
            <b/>
            <sz val="9"/>
            <color indexed="81"/>
            <rFont val="Tahoma"/>
            <family val="2"/>
          </rPr>
          <t>Estudiante:</t>
        </r>
        <r>
          <rPr>
            <sz val="9"/>
            <color indexed="81"/>
            <rFont val="Tahoma"/>
            <family val="2"/>
          </rPr>
          <t xml:space="preserve">
UNA CUCHARADA</t>
        </r>
      </text>
    </comment>
  </commentList>
  <extLst>
    <ext xmlns:r="http://schemas.openxmlformats.org/officeDocument/2006/relationships" uri="GoogleSheetsCustomDataVersion1">
      <go:sheetsCustomData xmlns:go="http://customooxmlschemas.google.com/" r:id="rId1" roundtripDataSignature="AMtx7miBdSzQXu/gzvcBAgQeNf9NzUkttA=="/>
    </ext>
  </extLst>
</comments>
</file>

<file path=xl/sharedStrings.xml><?xml version="1.0" encoding="utf-8"?>
<sst xmlns="http://schemas.openxmlformats.org/spreadsheetml/2006/main" count="2155" uniqueCount="433">
  <si>
    <t xml:space="preserve">TALLER COSTOS </t>
  </si>
  <si>
    <t>VERSIÓN 3</t>
  </si>
  <si>
    <t>COSTO</t>
  </si>
  <si>
    <t>COSTO MAX</t>
  </si>
  <si>
    <t>% DE COSTO</t>
  </si>
  <si>
    <t>PRECIO DE VENTA</t>
  </si>
  <si>
    <t>UNIDADES DE MEDIDA</t>
  </si>
  <si>
    <t>SIMBOLO</t>
  </si>
  <si>
    <t>GRAMOS</t>
  </si>
  <si>
    <t>GR</t>
  </si>
  <si>
    <t>UNIDADES DE MEDIDA PARA PESO</t>
  </si>
  <si>
    <t>LIBRAS</t>
  </si>
  <si>
    <t>LB</t>
  </si>
  <si>
    <t>UND/M</t>
  </si>
  <si>
    <t>PRECIO COMPRA</t>
  </si>
  <si>
    <t>COSTO GR</t>
  </si>
  <si>
    <t>V/ PORCIÓN</t>
  </si>
  <si>
    <t>KILOGRAMOS</t>
  </si>
  <si>
    <t>KL</t>
  </si>
  <si>
    <t>CENTIMETROS CUBICOS</t>
  </si>
  <si>
    <t>CC</t>
  </si>
  <si>
    <t>UNIDADES DE MEDIDA PARA VOLUMEN</t>
  </si>
  <si>
    <t>LITROS</t>
  </si>
  <si>
    <t>LTS</t>
  </si>
  <si>
    <t xml:space="preserve">UNIDADES  </t>
  </si>
  <si>
    <t>UND</t>
  </si>
  <si>
    <t>VALOR INDIVIDUAL</t>
  </si>
  <si>
    <t>POLLO</t>
  </si>
  <si>
    <t>VERDURAS</t>
  </si>
  <si>
    <t>HIERBAS Y ESPECIAS</t>
  </si>
  <si>
    <t>LACTEOS Y DERIVADOS</t>
  </si>
  <si>
    <t>ENCURTIDOS Y SALSAS</t>
  </si>
  <si>
    <t>ABARROTES Y OTROS</t>
  </si>
  <si>
    <t>PROCEDIMIENTO</t>
  </si>
  <si>
    <t>TALLER DE COSTOS NOMADA CONSULTORIAS</t>
  </si>
  <si>
    <t>NOMBRE DEL ESTUDIANTE:</t>
  </si>
  <si>
    <t>RECETA #</t>
  </si>
  <si>
    <t># PORCIONES</t>
  </si>
  <si>
    <t>COD.</t>
  </si>
  <si>
    <t>INGREDIENTES</t>
  </si>
  <si>
    <t>UNID</t>
  </si>
  <si>
    <t>CANT.</t>
  </si>
  <si>
    <t>V/UNIT.</t>
  </si>
  <si>
    <t>V/TOTAL</t>
  </si>
  <si>
    <t>LISTA MAESTRA</t>
  </si>
  <si>
    <t>COSTO TOTAL DE LOS INGREDIENTES</t>
  </si>
  <si>
    <t>MARGEN DE ERROR O VARIACIÓN</t>
  </si>
  <si>
    <t>COSTO DE UNA PORCION + EL MARGEN DE ERROR</t>
  </si>
  <si>
    <t>COSTO TOTAL DE UNA PORCION</t>
  </si>
  <si>
    <t># RECETA</t>
  </si>
  <si>
    <t>COSTO TOTAL DE LA PREPARACIÓN + MARGEN DE ERROR</t>
  </si>
  <si>
    <t>COSTO DE UNA PORCIÓN SUMANDO EL MARGEN DE ERROR</t>
  </si>
  <si>
    <t>'RECETA BASE'</t>
  </si>
  <si>
    <t>% COSTO MATERIA PRIMA ESTABLECIDO POR GERENCIA</t>
  </si>
  <si>
    <t>PRECIO POTENCIAL DE VENTA DE UNA PORCIÓN</t>
  </si>
  <si>
    <t>PRECIO REAL DE VENTA DE UNA PORCIÓN</t>
  </si>
  <si>
    <t>% REAL DE COSTO (COSTO PORCIÓN SOBRE PRECIO REAL VENTA)</t>
  </si>
  <si>
    <t>IVA GENERADO AL VENDER CADA PORCIÓN</t>
  </si>
  <si>
    <t>PRECIO PARA LA CARTA DE CADA PORCIÓN</t>
  </si>
  <si>
    <t>:</t>
  </si>
  <si>
    <t>MIEL DE GENGIBRE</t>
  </si>
  <si>
    <t>AGUA</t>
  </si>
  <si>
    <t>HUEVO</t>
  </si>
  <si>
    <t>COSTOS FIJO</t>
  </si>
  <si>
    <t>ARRIENDO</t>
  </si>
  <si>
    <t>NOMINA</t>
  </si>
  <si>
    <t>NOMBRE DEL PUNTO</t>
  </si>
  <si>
    <t>CAFETERIA 1</t>
  </si>
  <si>
    <t>INTERNET</t>
  </si>
  <si>
    <t>ITEM</t>
  </si>
  <si>
    <t>COSTOS VARIABLES</t>
  </si>
  <si>
    <t>LUZ</t>
  </si>
  <si>
    <t>GAS</t>
  </si>
  <si>
    <t>INVERSIÓN TOTAL</t>
  </si>
  <si>
    <t>MESES</t>
  </si>
  <si>
    <t>CUOTA MENSUAL</t>
  </si>
  <si>
    <t>PRESUPUESTO</t>
  </si>
  <si>
    <t>PORCENTAJE</t>
  </si>
  <si>
    <t>VENTAS MENSUALES</t>
  </si>
  <si>
    <t>SERVICIOS</t>
  </si>
  <si>
    <t>MATERIA PRIMA</t>
  </si>
  <si>
    <t>DIFERENCIA</t>
  </si>
  <si>
    <t>PROYECCIÓN VENTA MENSUAL</t>
  </si>
  <si>
    <t>UTILIDAD BRUTA (ingresos - costos)</t>
  </si>
  <si>
    <t>RECUPERACIÓN DE LA INVERSIÓN MENSUAL</t>
  </si>
  <si>
    <t>TOTAL COSTOS OPERATIVOS (fijos y variables)</t>
  </si>
  <si>
    <t>SALSA DE LA CASA</t>
  </si>
  <si>
    <t>PROCEDIMIENTO SALSA DE AJO</t>
  </si>
  <si>
    <r>
      <rPr>
        <b/>
        <sz val="11"/>
        <color theme="1"/>
        <rFont val="Calibri"/>
        <family val="2"/>
      </rPr>
      <t>Preparación con Licuadora</t>
    </r>
    <r>
      <rPr>
        <sz val="11"/>
        <color theme="1"/>
        <rFont val="Calibri"/>
        <family val="2"/>
      </rPr>
      <t xml:space="preserve">
</t>
    </r>
    <r>
      <rPr>
        <b/>
        <sz val="11"/>
        <color theme="1"/>
        <rFont val="Calibri"/>
        <family val="2"/>
      </rPr>
      <t>Prepara los ingredientes</t>
    </r>
    <r>
      <rPr>
        <sz val="11"/>
        <color theme="1"/>
        <rFont val="Calibri"/>
        <family val="2"/>
      </rPr>
      <t xml:space="preserve">: Pela los dientes de ajo por la mitad y saca el germen para reducir el amargo del ajo
</t>
    </r>
    <r>
      <rPr>
        <b/>
        <sz val="11"/>
        <color theme="1"/>
        <rFont val="Calibri"/>
        <family val="2"/>
      </rPr>
      <t>Combina los ingredientes base</t>
    </r>
    <r>
      <rPr>
        <sz val="11"/>
        <color theme="1"/>
        <rFont val="Calibri"/>
        <family val="2"/>
      </rPr>
      <t xml:space="preserve">: En el vaso de la licuadora, añade el huevo, la mostaza, el ajo, la sal y la pimienta.
</t>
    </r>
    <r>
      <rPr>
        <b/>
        <sz val="11"/>
        <color theme="1"/>
        <rFont val="Calibri"/>
        <family val="2"/>
      </rPr>
      <t>Inicia el licuado</t>
    </r>
    <r>
      <rPr>
        <sz val="11"/>
        <color theme="1"/>
        <rFont val="Calibri"/>
        <family val="2"/>
      </rPr>
      <t xml:space="preserve">: Coloca la tapa de la licuadora, asegurándote de que la abertura superior para verter esté abierta. Enciende la licuadora a velocidad media-baja para empezar a mezclar los ingredientes.
</t>
    </r>
    <r>
      <rPr>
        <b/>
        <sz val="11"/>
        <color theme="1"/>
        <rFont val="Calibri"/>
        <family val="2"/>
      </rPr>
      <t>Añade el aceite lentamente</t>
    </r>
    <r>
      <rPr>
        <sz val="11"/>
        <color theme="1"/>
        <rFont val="Calibri"/>
        <family val="2"/>
      </rPr>
      <t xml:space="preserve">: Con la licuadora funcionando, comienza a verter el aceite en un chorro muy fino y constante a través de la abertura de la tapa. Es crucial que lo hagas lentamente para que la mezcla emulsione correctamente.
</t>
    </r>
    <r>
      <rPr>
        <b/>
        <sz val="11"/>
        <color theme="1"/>
        <rFont val="Calibri"/>
        <family val="2"/>
      </rPr>
      <t>Observa la consistencia</t>
    </r>
    <r>
      <rPr>
        <sz val="11"/>
        <color theme="1"/>
        <rFont val="Calibri"/>
        <family val="2"/>
      </rPr>
      <t xml:space="preserve">: Continúa vertiendo el aceite hasta que la salsa comience a espesarse y adquiera la consistencia deseada. Si notas que se está volviendo demasiado espesa, puedes detenerte antes de usar todo el aceite. Si la quieres más líquida, puedes añadir un poco de agua o leche al final. yo recomiendo crema de leche.
</t>
    </r>
    <r>
      <rPr>
        <b/>
        <sz val="11"/>
        <color theme="1"/>
        <rFont val="Calibri"/>
        <family val="2"/>
      </rPr>
      <t>Prueba y ajusta</t>
    </r>
    <r>
      <rPr>
        <sz val="11"/>
        <color theme="1"/>
        <rFont val="Calibri"/>
        <family val="2"/>
      </rPr>
      <t xml:space="preserve">: Una vez que la salsa esté lista, detén la licuadora, pruébala y ajusta la sal o la pimienta si es necesario. Si quieres más sabor a ajo, puedes triturar un diente de ajo extra en un mortero y agregarlo a la salsa ya terminada.
</t>
    </r>
    <r>
      <rPr>
        <b/>
        <sz val="11"/>
        <color theme="1"/>
        <rFont val="Calibri"/>
        <family val="2"/>
      </rPr>
      <t>Consejos Adicionales</t>
    </r>
    <r>
      <rPr>
        <sz val="11"/>
        <color theme="1"/>
        <rFont val="Calibri"/>
        <family val="2"/>
      </rPr>
      <t xml:space="preserve">
Temperatura: , es mejor si todos los ingredientes están a temperatura ambiente para una mejor emulsión.
Velocidad: Es importante comenzar con una velocidad baja para que la mezcla se combine bien antes de aumentar la velocidad.
Volumen: Un litro es una cantidad grande para una licuadora doméstica. Asegúrate de que el vaso de tu licuadora tenga la capacidad suficiente. Si no es así, puedes hacer la receta en dos tandas.</t>
    </r>
  </si>
  <si>
    <t>PROCEDIMIENTO BALSAMICO</t>
  </si>
  <si>
    <r>
      <rPr>
        <b/>
        <sz val="11"/>
        <color theme="1"/>
        <rFont val="Calibri"/>
        <family val="2"/>
      </rPr>
      <t>Paso a Paso para la Reducción</t>
    </r>
    <r>
      <rPr>
        <sz val="11"/>
        <color theme="1"/>
        <rFont val="Calibri"/>
        <family val="2"/>
      </rPr>
      <t xml:space="preserve">
</t>
    </r>
    <r>
      <rPr>
        <b/>
        <sz val="11"/>
        <color theme="1"/>
        <rFont val="Calibri"/>
        <family val="2"/>
      </rPr>
      <t>Combina los ingredientes</t>
    </r>
    <r>
      <rPr>
        <sz val="11"/>
        <color theme="1"/>
        <rFont val="Calibri"/>
        <family val="2"/>
      </rPr>
      <t xml:space="preserve">: Vierte el vinagre balsámico en una olla o sartén antiadherente de fondo grueso. Azúcar, añádela ahora y revuelve hasta que se disuelva. 
</t>
    </r>
    <r>
      <rPr>
        <b/>
        <sz val="11"/>
        <color theme="1"/>
        <rFont val="Calibri"/>
        <family val="2"/>
      </rPr>
      <t>Lleva a ebullición</t>
    </r>
    <r>
      <rPr>
        <sz val="11"/>
        <color theme="1"/>
        <rFont val="Calibri"/>
        <family val="2"/>
      </rPr>
      <t xml:space="preserve">: Calienta la mezcla a fuego medio-alto hasta que comience a hervir.
</t>
    </r>
    <r>
      <rPr>
        <b/>
        <sz val="11"/>
        <color theme="1"/>
        <rFont val="Calibri"/>
        <family val="2"/>
      </rPr>
      <t>Reduce el fuego y cocina a fuego lento:</t>
    </r>
    <r>
      <rPr>
        <sz val="11"/>
        <color theme="1"/>
        <rFont val="Calibri"/>
        <family val="2"/>
      </rPr>
      <t xml:space="preserve"> Una vez que hierva, baja el fuego a medio-bajo. La mezcla debe mantenerse en un hervor suave y constante. </t>
    </r>
    <r>
      <rPr>
        <b/>
        <sz val="11"/>
        <color theme="1"/>
        <rFont val="Calibri"/>
        <family val="2"/>
      </rPr>
      <t>No la tapes.</t>
    </r>
    <r>
      <rPr>
        <sz val="11"/>
        <color theme="1"/>
        <rFont val="Calibri"/>
        <family val="2"/>
      </rPr>
      <t xml:space="preserve">
</t>
    </r>
    <r>
      <rPr>
        <b/>
        <sz val="11"/>
        <color theme="1"/>
        <rFont val="Calibri"/>
        <family val="2"/>
      </rPr>
      <t>Monitorea la reducción</t>
    </r>
    <r>
      <rPr>
        <sz val="11"/>
        <color theme="1"/>
        <rFont val="Calibri"/>
        <family val="2"/>
      </rPr>
      <t xml:space="preserve">: Este es el paso más importante. El proceso puede tomar entre 15 y 30 minutos, dependiendo del tamaño de la olla y la intensidad del fuego.
</t>
    </r>
    <r>
      <rPr>
        <b/>
        <sz val="11"/>
        <color theme="1"/>
        <rFont val="Calibri"/>
        <family val="2"/>
      </rPr>
      <t>Observa la consistencia:</t>
    </r>
    <r>
      <rPr>
        <sz val="11"/>
        <color theme="1"/>
        <rFont val="Calibri"/>
        <family val="2"/>
      </rPr>
      <t xml:space="preserve"> Al principio se verá muy líquida. A medida que el líquido se evapore, la consistencia cambiará. cuando la preparación no este acida agregar un gramo de cmc para mejorar la consistencia.
</t>
    </r>
    <r>
      <rPr>
        <b/>
        <sz val="11"/>
        <color theme="1"/>
        <rFont val="Calibri"/>
        <family val="2"/>
      </rPr>
      <t>Haz la prueba de la cuchara</t>
    </r>
    <r>
      <rPr>
        <sz val="11"/>
        <color theme="1"/>
        <rFont val="Calibri"/>
        <family val="2"/>
      </rPr>
      <t>: Saca una cuchara y sumérgela en la reducción. Si la retiras y la reducción cubre la parte de atrás de la cuchara sin gotear rápidamente, está lista.
T</t>
    </r>
    <r>
      <rPr>
        <b/>
        <sz val="11"/>
        <color theme="1"/>
        <rFont val="Calibri"/>
        <family val="2"/>
      </rPr>
      <t xml:space="preserve">en cuidado de no sobre-reducir: </t>
    </r>
    <r>
      <rPr>
        <sz val="11"/>
        <color theme="1"/>
        <rFont val="Calibri"/>
        <family val="2"/>
      </rPr>
      <t xml:space="preserve">La reducción de vinagre balsámico se volverá mucho más espesa una vez que se enfríe. Es mejor retirarla del fuego un poco antes de lo que crees que está lista.
</t>
    </r>
    <r>
      <rPr>
        <b/>
        <sz val="11"/>
        <color theme="1"/>
        <rFont val="Calibri"/>
        <family val="2"/>
      </rPr>
      <t>Retira del fuego y enfría</t>
    </r>
    <r>
      <rPr>
        <sz val="11"/>
        <color theme="1"/>
        <rFont val="Calibri"/>
        <family val="2"/>
      </rPr>
      <t>: Quita la olla del calor. . Deja que la reducción se enfríe completamente antes de almacenarla. Al enfriarse, se espesará hasta alcanzar la consistencia de un jarabe.
Almacena: Vierte la reducción en una botella o recipiente hermético. Guárdala en un lugar fresco y oscuro, como una despensa. No es necesario refrigerarla.</t>
    </r>
  </si>
  <si>
    <t>EN LA MIEL AGREGAR EL GENGIBRE Y EL LIMONCILLO Y DEJAR REPOSAR POR 3 DIAS, EL GENGIBRE SE DEBE AGREGAR SIN PIEL</t>
  </si>
  <si>
    <r>
      <rPr>
        <b/>
        <sz val="11"/>
        <color theme="1"/>
        <rFont val="Calibri"/>
        <family val="2"/>
      </rPr>
      <t>Procedimiento (Paso a Paso)</t>
    </r>
    <r>
      <rPr>
        <sz val="11"/>
        <color theme="1"/>
        <rFont val="Calibri"/>
        <family val="2"/>
      </rPr>
      <t xml:space="preserve">
</t>
    </r>
    <r>
      <rPr>
        <b/>
        <sz val="11"/>
        <color theme="1"/>
        <rFont val="Calibri"/>
        <family val="2"/>
      </rPr>
      <t>Prepara los ingredientes secos</t>
    </r>
    <r>
      <rPr>
        <sz val="11"/>
        <color theme="1"/>
        <rFont val="Calibri"/>
        <family val="2"/>
      </rPr>
      <t xml:space="preserve">: En un tazón mediano, mezcla el ajo en polvo, las dos pimientas y la páprika. Revolver bien te ayudará a evitar grumos.
</t>
    </r>
    <r>
      <rPr>
        <b/>
        <sz val="11"/>
        <color theme="1"/>
        <rFont val="Calibri"/>
        <family val="2"/>
      </rPr>
      <t>Combina la base líquida</t>
    </r>
    <r>
      <rPr>
        <sz val="11"/>
        <color theme="1"/>
        <rFont val="Calibri"/>
        <family val="2"/>
      </rPr>
      <t xml:space="preserve">: En un recipiente grande (o en el vaso de una licuadora), agrega la mayonesa, la salsa de tomate y la salsa inglesa.
</t>
    </r>
    <r>
      <rPr>
        <b/>
        <sz val="11"/>
        <color theme="1"/>
        <rFont val="Calibri"/>
        <family val="2"/>
      </rPr>
      <t>Integra todos los ingredientes</t>
    </r>
    <r>
      <rPr>
        <sz val="11"/>
        <color theme="1"/>
        <rFont val="Calibri"/>
        <family val="2"/>
      </rPr>
      <t xml:space="preserve">: Añade la mezcla de especias secas al recipiente con los ingredientes húmedos.
</t>
    </r>
    <r>
      <rPr>
        <b/>
        <sz val="11"/>
        <color theme="1"/>
        <rFont val="Calibri"/>
        <family val="2"/>
      </rPr>
      <t>Mezcla hasta homogeneizar</t>
    </r>
    <r>
      <rPr>
        <sz val="11"/>
        <color theme="1"/>
        <rFont val="Calibri"/>
        <family val="2"/>
      </rPr>
      <t xml:space="preserve">: Con la ayuda de, una licuadora,  mezcla todos los ingredientes hasta obtener una salsa de color uniforme y sin grumos.
</t>
    </r>
    <r>
      <rPr>
        <b/>
        <sz val="11"/>
        <color theme="1"/>
        <rFont val="Calibri"/>
        <family val="2"/>
      </rPr>
      <t>Prueba y ajusta</t>
    </r>
    <r>
      <rPr>
        <sz val="11"/>
        <color theme="1"/>
        <rFont val="Calibri"/>
        <family val="2"/>
      </rPr>
      <t xml:space="preserve">: Una vez que la salsa esté bien mezclada, pruébala. Puedes ajustar la cantidad de cada ingrediente según tus preferencias personales. Por ejemplo, si la quieres más dulce, agrega un poco más de salsa de tomate; si buscas un sabor más profundo y salado, añade más salsa inglesa.
</t>
    </r>
    <r>
      <rPr>
        <b/>
        <sz val="11"/>
        <color theme="1"/>
        <rFont val="Calibri"/>
        <family val="2"/>
      </rPr>
      <t>Notas Adicionales</t>
    </r>
    <r>
      <rPr>
        <sz val="11"/>
        <color theme="1"/>
        <rFont val="Calibri"/>
        <family val="2"/>
      </rPr>
      <t xml:space="preserve">
Consistencia: La mayonesa es la que define la consistencia de esta salsa. Si quieres una salsa más líquida, puedes agregar un poco de agua o leche al gusto.
</t>
    </r>
    <r>
      <rPr>
        <b/>
        <sz val="11"/>
        <color theme="1"/>
        <rFont val="Calibri"/>
        <family val="2"/>
      </rPr>
      <t xml:space="preserve">Almacenamiento: </t>
    </r>
    <r>
      <rPr>
        <sz val="11"/>
        <color theme="1"/>
        <rFont val="Calibri"/>
        <family val="2"/>
      </rPr>
      <t>Vierte la salsa en un recipiente hermético. Esta salsa se conserva bien refrigerada por 5 a 7 días.
Variantes: Puedes usar páprika ahumada para darle un toque diferente o añadir un poco de cebolla en polvo para un sabor más complejo.</t>
    </r>
  </si>
  <si>
    <t xml:space="preserve">ALMA RURAL </t>
  </si>
  <si>
    <t>INICIA EL DIA EN EL CAMPO</t>
  </si>
  <si>
    <t>CAMPESINO</t>
  </si>
  <si>
    <t>HUEVOS EN CACEROLA</t>
  </si>
  <si>
    <t>HUEVOS NAPOLITANOS</t>
  </si>
  <si>
    <t>HUEVOS AL GUSTO</t>
  </si>
  <si>
    <t>OMELETTE</t>
  </si>
  <si>
    <t xml:space="preserve">DESAYUNOS SALUABLES </t>
  </si>
  <si>
    <t>BOWL NUTRITIVO</t>
  </si>
  <si>
    <t>WAFFLE</t>
  </si>
  <si>
    <t>BATIDO VERDE</t>
  </si>
  <si>
    <t>ENTRADAS DE LA HUERTA</t>
  </si>
  <si>
    <t>PATACONAS DE LAS MONTAÑAS COLOMBIANAS</t>
  </si>
  <si>
    <t>DULCE TENTACIÓN ABORRAJADA</t>
  </si>
  <si>
    <t>CHICHARRON CAMPESINO</t>
  </si>
  <si>
    <t>AVES DEL CORRAL</t>
  </si>
  <si>
    <t>BROCHETAS DE POLLO A LA BRASA</t>
  </si>
  <si>
    <t>POLLO CRIOLLO SALTEADO</t>
  </si>
  <si>
    <t>PECHUGA DE POLLO A LA PARRILLA</t>
  </si>
  <si>
    <t>PECHUGA DE POLLO EN SALSA DE CHAMPIÑONES</t>
  </si>
  <si>
    <t>SABORES DEL CERDO</t>
  </si>
  <si>
    <t>COSTILLAS DE CERDO BBQ</t>
  </si>
  <si>
    <t>TESOROS DEL RIO</t>
  </si>
  <si>
    <t>TRUCHA AHUMADA DE LA HUERTA</t>
  </si>
  <si>
    <t>TRUCHA A LA CRIOLLA</t>
  </si>
  <si>
    <t>TRUCHA CON CHAMPIÑONES</t>
  </si>
  <si>
    <t>TRUCHA AL AJILLO</t>
  </si>
  <si>
    <t>TRUCHA CON ALMENDRAS</t>
  </si>
  <si>
    <t>TRUCHA DE COCO</t>
  </si>
  <si>
    <t>TRUCHA TROPICAL</t>
  </si>
  <si>
    <t>CARNES DEL CORRAL</t>
  </si>
  <si>
    <t>CHURRASCO DE RES</t>
  </si>
  <si>
    <t>PUNTA DE ANCA ASADA</t>
  </si>
  <si>
    <t>CORDERO AHUMADO</t>
  </si>
  <si>
    <t>HAMBURGUESA ARTESANAL DE LA CASA</t>
  </si>
  <si>
    <t>HAMBURGUESA ANGUS PREMIUM</t>
  </si>
  <si>
    <t>HAMBURGUESA DE CORDERO</t>
  </si>
  <si>
    <t>OPCIÓN VEGETARIANA</t>
  </si>
  <si>
    <t>RAVIOLIS DE CHAMPIÑONES</t>
  </si>
  <si>
    <t>BOWL VEGANO</t>
  </si>
  <si>
    <t>MENÚ INFANTIL</t>
  </si>
  <si>
    <t>POLLO INFANTIL CON QUINUA</t>
  </si>
  <si>
    <t>COSTOS OPERATIVOS COCINA</t>
  </si>
  <si>
    <t>AXU COCINA</t>
  </si>
  <si>
    <t>FRITURAS</t>
  </si>
  <si>
    <t>STEWARD</t>
  </si>
  <si>
    <t>MESERO SABADO</t>
  </si>
  <si>
    <t>MESERO DOMINGO 1</t>
  </si>
  <si>
    <t>MESERO DOMINGO 2</t>
  </si>
  <si>
    <t>CARNES ROJAS</t>
  </si>
  <si>
    <t>TRUCHA</t>
  </si>
  <si>
    <t xml:space="preserve"> V</t>
  </si>
  <si>
    <t>CERDO</t>
  </si>
  <si>
    <t>CHUCULA TOCAIMA  500 GR</t>
  </si>
  <si>
    <t>CILANTRO ATADO</t>
  </si>
  <si>
    <t>CILANTRON MONIK</t>
  </si>
  <si>
    <t>LECHE MERCACENTRO X 1000 CC</t>
  </si>
  <si>
    <t>MAZORCA CHOCLO</t>
  </si>
  <si>
    <t>PANELA CUADRO</t>
  </si>
  <si>
    <t>PAPA CRIOLLA</t>
  </si>
  <si>
    <t>YUCA</t>
  </si>
  <si>
    <t>PUNTA DE ANCA</t>
  </si>
  <si>
    <t>LOMO ANCHO</t>
  </si>
  <si>
    <t>COSTILLA DE CERDO</t>
  </si>
  <si>
    <t>TOCINO BARRIGUERO</t>
  </si>
  <si>
    <t>TOCINO CARNUDO</t>
  </si>
  <si>
    <t>PAPADA</t>
  </si>
  <si>
    <t>MURILLO PIERNA</t>
  </si>
  <si>
    <t>CREMA DE LECHE COLANTA</t>
  </si>
  <si>
    <t>JAMON RICA</t>
  </si>
  <si>
    <t>LECHUGA BATAVIA</t>
  </si>
  <si>
    <t>PECHUGA DE POLLO</t>
  </si>
  <si>
    <t>MARGARINA RAMMA BALDE * 4 KL</t>
  </si>
  <si>
    <t>PESCADOS Y MARISCOS</t>
  </si>
  <si>
    <t>CAMARON CRUDO</t>
  </si>
  <si>
    <t>CHIP DE CHOCOLATE 1/2</t>
  </si>
  <si>
    <t>ALMIYUCA</t>
  </si>
  <si>
    <t>ARROZ DIANA PREMIUM</t>
  </si>
  <si>
    <t>AZUCAR MERCACENTRO</t>
  </si>
  <si>
    <t xml:space="preserve">CANELA </t>
  </si>
  <si>
    <t xml:space="preserve">CLAVOS </t>
  </si>
  <si>
    <t>FRIJOL CARGAMANTO</t>
  </si>
  <si>
    <t>QUINUA PEPA</t>
  </si>
  <si>
    <t>VINAGRE</t>
  </si>
  <si>
    <t>HUESO DE COGOTE</t>
  </si>
  <si>
    <t>RECETAS ESTANDAR ALMA RURAL 2025</t>
  </si>
  <si>
    <t>PORCION</t>
  </si>
  <si>
    <t>HUEVOS</t>
  </si>
  <si>
    <t>SALSA CRIOLLA</t>
  </si>
  <si>
    <t>AREPA</t>
  </si>
  <si>
    <t>WAFFLES</t>
  </si>
  <si>
    <t>ACEITE</t>
  </si>
  <si>
    <t>VEGETALES DE LA HUERTA</t>
  </si>
  <si>
    <t>BEBIDA DE ELECCIÓN</t>
  </si>
  <si>
    <t xml:space="preserve">SALSA NAPOLITANA </t>
  </si>
  <si>
    <t>ALBAHACA</t>
  </si>
  <si>
    <t>TOPPIN</t>
  </si>
  <si>
    <t>YOGURT</t>
  </si>
  <si>
    <t>FRUTAS</t>
  </si>
  <si>
    <t>GRANOLA</t>
  </si>
  <si>
    <t>BEBIDA CALIENTE</t>
  </si>
  <si>
    <t>BATIDO VERDE PORCION</t>
  </si>
  <si>
    <t>PORCI</t>
  </si>
  <si>
    <t>PATACONES DE LAS MONTAÑAS COLOMBIANAS</t>
  </si>
  <si>
    <t>PLATANO VERDE</t>
  </si>
  <si>
    <t>PORC</t>
  </si>
  <si>
    <t>PORCION DE PATACONAS</t>
  </si>
  <si>
    <t>DULCE TENTACION ABORRAJADA</t>
  </si>
  <si>
    <t>PLATANO MADURO</t>
  </si>
  <si>
    <t>ABORRAJADOS</t>
  </si>
  <si>
    <t>BOCADILLO</t>
  </si>
  <si>
    <t>PORCION PAPAS CASCO</t>
  </si>
  <si>
    <t>SALSAS DE LA CASA</t>
  </si>
  <si>
    <t>PAPAS EN CASCOS</t>
  </si>
  <si>
    <t>BROCHETA PORCION</t>
  </si>
  <si>
    <t>PORCION ENSALADA</t>
  </si>
  <si>
    <t xml:space="preserve">PAPAS EN CASCO </t>
  </si>
  <si>
    <t>ARROZ PORCION</t>
  </si>
  <si>
    <t>BROCHETAS DE POLLO DULCE Y SALADA</t>
  </si>
  <si>
    <t>PORCION DE ARROZ</t>
  </si>
  <si>
    <t>PECHUGA DE POLLO * 350 GR</t>
  </si>
  <si>
    <t>SALSA DE CHAMPIÑONES</t>
  </si>
  <si>
    <t>ENSALADA FRESCA</t>
  </si>
  <si>
    <t>PAPAS EN CASCO</t>
  </si>
  <si>
    <t>COSTILLAS EN SALSA BBQ</t>
  </si>
  <si>
    <t>PORCION DE ENSALADA</t>
  </si>
  <si>
    <t>PORCION TRUCHA + 350 GR</t>
  </si>
  <si>
    <t xml:space="preserve">PORCION DE TRUCHA * 350 </t>
  </si>
  <si>
    <t>TRUCHA PORCION * 350 GR</t>
  </si>
  <si>
    <t>PORCION SALSA DE CHAMPIÑONES</t>
  </si>
  <si>
    <t>PORCION DE SALSA DE AJO</t>
  </si>
  <si>
    <t>TRUCHA EN SALSA DE ALMENDRAS</t>
  </si>
  <si>
    <t>PORCION DE PATACON</t>
  </si>
  <si>
    <t>PORCION DE ARROZ DE COCO</t>
  </si>
  <si>
    <t>RACK DE COSTILLAS DE CORDERO</t>
  </si>
  <si>
    <t>PORCIÓN</t>
  </si>
  <si>
    <t>PORCION DE PAN</t>
  </si>
  <si>
    <t>PORCION DE PAPAS</t>
  </si>
  <si>
    <t>CARNE DE ANGUS HAMBURUGESA</t>
  </si>
  <si>
    <t>POLLO INFANTIL</t>
  </si>
  <si>
    <t>COSTO und</t>
  </si>
  <si>
    <t>PERNIL CERDO</t>
  </si>
  <si>
    <t>PECHO KILO</t>
  </si>
  <si>
    <t>MORRILLO KILO</t>
  </si>
  <si>
    <t>AGUACATE</t>
  </si>
  <si>
    <t>AREPAS PQT X 10</t>
  </si>
  <si>
    <t>UN</t>
  </si>
  <si>
    <t>HUEVO AA</t>
  </si>
  <si>
    <t>CHAMPIÑON</t>
  </si>
  <si>
    <t>ESPINACA</t>
  </si>
  <si>
    <t>APIO</t>
  </si>
  <si>
    <t>CALDO DE ALAS</t>
  </si>
  <si>
    <t xml:space="preserve">ALAS </t>
  </si>
  <si>
    <t>PAPA PASTUSA</t>
  </si>
  <si>
    <t>CILANTRO</t>
  </si>
  <si>
    <t>AJO</t>
  </si>
  <si>
    <t>PIMENTON</t>
  </si>
  <si>
    <t>SAL</t>
  </si>
  <si>
    <t>CILANTRON</t>
  </si>
  <si>
    <t>HUEVOS CRIOLLOS</t>
  </si>
  <si>
    <t>MARGARINA</t>
  </si>
  <si>
    <t>HARINA DE TRIGO</t>
  </si>
  <si>
    <t>HARINA DE YUCA</t>
  </si>
  <si>
    <t>LECHE</t>
  </si>
  <si>
    <t>QUESO CRIOLLO</t>
  </si>
  <si>
    <t>AZUCAR</t>
  </si>
  <si>
    <t>ESENCIA</t>
  </si>
  <si>
    <t xml:space="preserve">GOTA </t>
  </si>
  <si>
    <t>BIZCOCHOS</t>
  </si>
  <si>
    <t>CHOCOLATE CALIENTE</t>
  </si>
  <si>
    <t xml:space="preserve">LECHE </t>
  </si>
  <si>
    <t>CHUCULA</t>
  </si>
  <si>
    <t>BISCOCHO</t>
  </si>
  <si>
    <t>WAFLE</t>
  </si>
  <si>
    <t>YOGURT TARRITO</t>
  </si>
  <si>
    <t>PORCION DE FRUTA</t>
  </si>
  <si>
    <t>BANANO</t>
  </si>
  <si>
    <t>MANZANA</t>
  </si>
  <si>
    <t>FRESAS</t>
  </si>
  <si>
    <t>WAFLES COMPLETO</t>
  </si>
  <si>
    <t>MERMELADA MORA O UCHUVA</t>
  </si>
  <si>
    <t>ESPINCA</t>
  </si>
  <si>
    <t>MANZA VERDE</t>
  </si>
  <si>
    <t>PIÑA</t>
  </si>
  <si>
    <t>LIMON</t>
  </si>
  <si>
    <t>TOMATE CHONTO</t>
  </si>
  <si>
    <t>C CABEZONA BLANCA</t>
  </si>
  <si>
    <t>PASTA DE AJO</t>
  </si>
  <si>
    <t>ACEITE DE GIRASOL</t>
  </si>
  <si>
    <t>LAUREL</t>
  </si>
  <si>
    <t>TOMILLO</t>
  </si>
  <si>
    <t>PIMIENTA</t>
  </si>
  <si>
    <t>CANELA</t>
  </si>
  <si>
    <t>PANELA</t>
  </si>
  <si>
    <t>HARINA</t>
  </si>
  <si>
    <t>SODA</t>
  </si>
  <si>
    <t xml:space="preserve">TOCINO CARNUDO </t>
  </si>
  <si>
    <t>MARINADA TOCINO X 4 KILO</t>
  </si>
  <si>
    <t>BICARBONATO</t>
  </si>
  <si>
    <t>AJO MEDIA CABEZA</t>
  </si>
  <si>
    <t>PEPERON CHINO</t>
  </si>
  <si>
    <t xml:space="preserve">PAPA PASTUSA </t>
  </si>
  <si>
    <t>BOLSA</t>
  </si>
  <si>
    <t>LULO</t>
  </si>
  <si>
    <t>PICANTE</t>
  </si>
  <si>
    <t>SALSA DE LULO DE LA CASA X450</t>
  </si>
  <si>
    <t>CEBOLLA MORADA</t>
  </si>
  <si>
    <t xml:space="preserve">PECHUGA </t>
  </si>
  <si>
    <t>CEBOLLA ROJA</t>
  </si>
  <si>
    <t xml:space="preserve">CEBOLLA BLANCA </t>
  </si>
  <si>
    <t>ADOBO</t>
  </si>
  <si>
    <t>CERVEZA POKER</t>
  </si>
  <si>
    <t>ROMERO</t>
  </si>
  <si>
    <t>PASTE DE AJO</t>
  </si>
  <si>
    <t>SALSA SOYA</t>
  </si>
  <si>
    <t>ML</t>
  </si>
  <si>
    <t>PIMIENTA NEGRA</t>
  </si>
  <si>
    <t xml:space="preserve">SAL </t>
  </si>
  <si>
    <t>ACEITE GIRASOL</t>
  </si>
  <si>
    <t>PALO DE PINCHO</t>
  </si>
  <si>
    <t>SAL PARRILLERA</t>
  </si>
  <si>
    <t>SALSA ALIOLI</t>
  </si>
  <si>
    <t>SALSA DE UCHUVA</t>
  </si>
  <si>
    <t>PASTE AJO</t>
  </si>
  <si>
    <t>HOJA DE PLATANO</t>
  </si>
  <si>
    <t>CUERDA</t>
  </si>
  <si>
    <t>ENSALADA</t>
  </si>
  <si>
    <t>ZANAHORIA</t>
  </si>
  <si>
    <t>PEPINO COHOMBRO</t>
  </si>
  <si>
    <t>MANGO MADURO</t>
  </si>
  <si>
    <t>REPOLLO MORADO ENCURTIDO</t>
  </si>
  <si>
    <t>REPOLLO ENCURTIDO</t>
  </si>
  <si>
    <t>REPOLLO MORADO</t>
  </si>
  <si>
    <t>ALIOLI</t>
  </si>
  <si>
    <t>POLLO CRIOLLO SALTEADO (NO SE PIDE LA PECHUGA PORCIONADA DICEN QUE LA MERMA ES MAS DE LA MITAD</t>
  </si>
  <si>
    <t>AJONJOLI</t>
  </si>
  <si>
    <t>SALSA DE CHAMPIÑONES TRS CHAMPI</t>
  </si>
  <si>
    <t>CREMA DE LECHE</t>
  </si>
  <si>
    <t>COSTILLAS DE CERDO * 500 GR</t>
  </si>
  <si>
    <t>CARBON AL GASTO</t>
  </si>
  <si>
    <t>BOLSA PLASTICA</t>
  </si>
  <si>
    <t>SALSA DE ALIOLI</t>
  </si>
  <si>
    <t>CARBON</t>
  </si>
  <si>
    <t>PEREJIL</t>
  </si>
  <si>
    <t>TOMATE CHERRY</t>
  </si>
  <si>
    <t>PORCION SALSA CRIOLLA</t>
  </si>
  <si>
    <t xml:space="preserve">PIMIENTA </t>
  </si>
  <si>
    <t>VINO BLANCO</t>
  </si>
  <si>
    <t>BECHAMEL</t>
  </si>
  <si>
    <t>ALMENDRAS</t>
  </si>
  <si>
    <t>SALSA DE COCO</t>
  </si>
  <si>
    <t>COCO</t>
  </si>
  <si>
    <t>CREMA DE COCO</t>
  </si>
  <si>
    <t>CREMA DE COCO COMPLET</t>
  </si>
  <si>
    <t>ESENCIA DE COCO</t>
  </si>
  <si>
    <t xml:space="preserve">CREMA DE LECHE </t>
  </si>
  <si>
    <t>CROQUETAS DE COCO</t>
  </si>
  <si>
    <t xml:space="preserve">CAMARONES </t>
  </si>
  <si>
    <t>CURRY</t>
  </si>
  <si>
    <t>MARINADA</t>
  </si>
  <si>
    <t>PIERNA DE CERDO</t>
  </si>
  <si>
    <t>CARNE DE HAMBURGUESA 170 GR</t>
  </si>
  <si>
    <t>PORCION DE CARNE DE RES 170 GR</t>
  </si>
  <si>
    <t>LECHUGA CRESPA</t>
  </si>
  <si>
    <t>TAJADA DE QUESO CRIOLLO 100 GR APR</t>
  </si>
  <si>
    <t>PEPINILLOS</t>
  </si>
  <si>
    <t>BROCOLI</t>
  </si>
  <si>
    <t xml:space="preserve">CHAMPIÑON </t>
  </si>
  <si>
    <t>CHERRY</t>
  </si>
  <si>
    <t>RESTAURANTE ALMA</t>
  </si>
  <si>
    <t>ALAS DE POLLO</t>
  </si>
  <si>
    <t>CEBOLLA LARGA</t>
  </si>
  <si>
    <t>UNIDAD</t>
  </si>
  <si>
    <t>POLVO DE HORNEAR</t>
  </si>
  <si>
    <t>ALMA RESTAURANTE</t>
  </si>
  <si>
    <t>PEPRON CHINO</t>
  </si>
  <si>
    <t>CEBOLLA CABEZONA BLANCA</t>
  </si>
  <si>
    <t>CEBOLLA CABEZONA ROJA</t>
  </si>
  <si>
    <t>PASTILLA DE CHOCOLATE</t>
  </si>
  <si>
    <t>MANZANA VERDE</t>
  </si>
  <si>
    <t>ACEITE BIDON</t>
  </si>
  <si>
    <t>PALOS DE PINCHO</t>
  </si>
  <si>
    <t xml:space="preserve">CUERDA </t>
  </si>
  <si>
    <t>CM</t>
  </si>
  <si>
    <t xml:space="preserve">FRESA </t>
  </si>
  <si>
    <t xml:space="preserve">ALMA RESTARANTE </t>
  </si>
  <si>
    <t>SALSA INGLESA</t>
  </si>
  <si>
    <t>LECHUGA RUGULA</t>
  </si>
  <si>
    <t>MANGO</t>
  </si>
  <si>
    <t>PECHO</t>
  </si>
  <si>
    <t xml:space="preserve">PIMENTON </t>
  </si>
  <si>
    <t>BIZCOCHOS DE ACHIRA</t>
  </si>
  <si>
    <t>BISZCOCHOS DE ACHIRA</t>
  </si>
  <si>
    <t xml:space="preserve">WAFLE </t>
  </si>
  <si>
    <t>YOGURTH TARRITO</t>
  </si>
  <si>
    <t>VINO BLANCO COCINA</t>
  </si>
  <si>
    <t>PORCION DE PLATANO</t>
  </si>
  <si>
    <t>PLATANO VERDE PORCION</t>
  </si>
  <si>
    <t>CEBOLLA CABEZONA PICADA</t>
  </si>
  <si>
    <t xml:space="preserve">VINO BLANCO </t>
  </si>
  <si>
    <t xml:space="preserve">CEBOLLA MORADA </t>
  </si>
  <si>
    <t xml:space="preserve">PORCION </t>
  </si>
  <si>
    <t xml:space="preserve">SALSA DE ALIOLI </t>
  </si>
  <si>
    <t>GASTOS OPERATIVOS</t>
  </si>
  <si>
    <t>TOCINETA AHUMADA X250</t>
  </si>
  <si>
    <t>MALLA DE AJO</t>
  </si>
  <si>
    <t>ATADO</t>
  </si>
  <si>
    <t>PIÑA ORO MIEL</t>
  </si>
  <si>
    <t>PIMIENTA MOLID</t>
  </si>
  <si>
    <t>LT</t>
  </si>
  <si>
    <t>ESENCIA DE VAINILLA</t>
  </si>
  <si>
    <t>CHIPS DE CHOCOLATE</t>
  </si>
  <si>
    <t>CEBOLLA CABEZONA MORADA</t>
  </si>
  <si>
    <t>OJO REVISAR CANTIDAD CREMA DE LECHE</t>
  </si>
  <si>
    <t>LECHE  MERCACENTRO X 1000</t>
  </si>
  <si>
    <t>COCO FRUTA</t>
  </si>
  <si>
    <t>UNIDA</t>
  </si>
  <si>
    <t>REVISAR CANTIDADES Y PORCIONES</t>
  </si>
  <si>
    <t>MORRILLO</t>
  </si>
  <si>
    <t>WAFFLE MEDIA PORCION</t>
  </si>
  <si>
    <t>WAFLE MEDIA PORCION</t>
  </si>
  <si>
    <t>4 Y 5</t>
  </si>
  <si>
    <t>ABORRAJADO</t>
  </si>
  <si>
    <t>QUESO RAYADO</t>
  </si>
  <si>
    <t xml:space="preserve">MARINADA </t>
  </si>
  <si>
    <t>REVISAR VALORES DE RECETA</t>
  </si>
  <si>
    <t>REVISAR</t>
  </si>
  <si>
    <t>ARROZ DIANA COCO</t>
  </si>
  <si>
    <t>PORCION DE CHURRASCO 380 GR</t>
  </si>
  <si>
    <t>PORCION DE PUNTA DE ANCA 380 GR</t>
  </si>
  <si>
    <t>TOCINETA</t>
  </si>
  <si>
    <t>ACEITE DE OLIVA</t>
  </si>
  <si>
    <t>PORCION DE CHAMPIÑON</t>
  </si>
  <si>
    <t xml:space="preserve">QUINUA </t>
  </si>
  <si>
    <t>CERVEZA</t>
  </si>
  <si>
    <t>FALTAN INGREDIENTES</t>
  </si>
  <si>
    <t>ARROZ MERCACENTRO</t>
  </si>
  <si>
    <t>PASTA AJO</t>
  </si>
  <si>
    <t>PQT</t>
  </si>
  <si>
    <t>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</si>
</sst>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 #,##0.00_-;\-&quot;$&quot;\ * #,##0.00_-;_-&quot;$&quot;\ * &quot;-&quot;??_-;_-@_-"/>
    <numFmt numFmtId="164" formatCode="_-&quot;$&quot;* #,##0_-;\-&quot;$&quot;* #,##0_-;_-&quot;$&quot;* &quot;-&quot;_-;_-@"/>
    <numFmt numFmtId="165" formatCode="_-&quot;$&quot;\ * #,##0_-;\-&quot;$&quot;\ * #,##0_-;_-&quot;$&quot;\ * &quot;-&quot;_-;_-@"/>
    <numFmt numFmtId="166" formatCode="000"/>
    <numFmt numFmtId="167" formatCode="0.0"/>
    <numFmt numFmtId="168" formatCode="_-&quot;$&quot;\ * #,##0.00_-;\-&quot;$&quot;\ * #,##0.00_-;_-&quot;$&quot;\ * &quot;-&quot;??_-;_-@"/>
    <numFmt numFmtId="169" formatCode="#,##0.0"/>
    <numFmt numFmtId="170" formatCode="_-&quot;$&quot;\ * #,##0_-;\-&quot;$&quot;\ * #,##0_-;_-&quot;$&quot;\ * &quot;-&quot;??_-;_-@"/>
    <numFmt numFmtId="171" formatCode="&quot;$&quot;#,##0.00"/>
    <numFmt numFmtId="172" formatCode="_-&quot;$&quot;\ * #,##0_-;\-&quot;$&quot;\ * #,##0_-;_-&quot;$&quot;\ * &quot;-&quot;??_-;_-@_-"/>
  </numFmts>
  <fonts count="4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1"/>
      <name val="Calibri"/>
      <family val="2"/>
    </font>
    <font>
      <sz val="11"/>
      <name val="Calibri"/>
      <family val="2"/>
    </font>
    <font>
      <b/>
      <sz val="10"/>
      <color theme="0"/>
      <name val="Calibri"/>
      <family val="2"/>
    </font>
    <font>
      <b/>
      <sz val="10"/>
      <color theme="1"/>
      <name val="Arial"/>
      <family val="2"/>
    </font>
    <font>
      <b/>
      <sz val="10"/>
      <color theme="0"/>
      <name val="Arial"/>
      <family val="2"/>
    </font>
    <font>
      <b/>
      <sz val="10"/>
      <color rgb="FFFFFFFF"/>
      <name val="Arial"/>
      <family val="2"/>
    </font>
    <font>
      <sz val="11"/>
      <color theme="1"/>
      <name val="Calibri"/>
      <family val="2"/>
    </font>
    <font>
      <b/>
      <i/>
      <sz val="11"/>
      <color theme="0"/>
      <name val="Calibri"/>
      <family val="2"/>
    </font>
    <font>
      <b/>
      <i/>
      <sz val="11"/>
      <color theme="1"/>
      <name val="Calibri"/>
      <family val="2"/>
    </font>
    <font>
      <b/>
      <sz val="12"/>
      <color theme="1"/>
      <name val="Calibri"/>
      <family val="2"/>
    </font>
    <font>
      <b/>
      <sz val="11"/>
      <color theme="1"/>
      <name val="Calibri"/>
      <family val="2"/>
    </font>
    <font>
      <sz val="12"/>
      <color theme="1"/>
      <name val="Calibri"/>
      <family val="2"/>
    </font>
    <font>
      <b/>
      <sz val="9"/>
      <color rgb="FF000000"/>
      <name val="Arial"/>
      <family val="2"/>
    </font>
    <font>
      <b/>
      <sz val="9"/>
      <color theme="0"/>
      <name val="Arial"/>
      <family val="2"/>
    </font>
    <font>
      <sz val="9"/>
      <color rgb="FF000000"/>
      <name val="Arial"/>
      <family val="2"/>
    </font>
    <font>
      <b/>
      <u/>
      <sz val="11"/>
      <color theme="1"/>
      <name val="Calibri"/>
      <family val="2"/>
    </font>
    <font>
      <b/>
      <sz val="10"/>
      <color rgb="FF000000"/>
      <name val="Arial"/>
      <family val="2"/>
    </font>
    <font>
      <b/>
      <sz val="10"/>
      <color rgb="FFFF0000"/>
      <name val="Arial"/>
      <family val="2"/>
    </font>
    <font>
      <sz val="10"/>
      <color rgb="FF000000"/>
      <name val="Arial"/>
      <family val="2"/>
    </font>
    <font>
      <b/>
      <sz val="10"/>
      <color rgb="FF993300"/>
      <name val="Arial"/>
      <family val="2"/>
    </font>
    <font>
      <b/>
      <u/>
      <sz val="11"/>
      <color theme="1"/>
      <name val="Calibri"/>
      <family val="2"/>
    </font>
    <font>
      <sz val="11"/>
      <color theme="1"/>
      <name val="Calibri"/>
      <family val="2"/>
      <scheme val="minor"/>
    </font>
    <font>
      <sz val="11"/>
      <color theme="1"/>
      <name val="Calibri"/>
      <family val="2"/>
    </font>
    <font>
      <b/>
      <sz val="10"/>
      <color theme="1"/>
      <name val="Arial"/>
      <family val="2"/>
    </font>
    <font>
      <b/>
      <sz val="9"/>
      <color rgb="FF000000"/>
      <name val="Arial"/>
      <family val="2"/>
    </font>
    <font>
      <b/>
      <sz val="10"/>
      <color rgb="FF000000"/>
      <name val="Arial"/>
      <family val="2"/>
    </font>
    <font>
      <sz val="12"/>
      <color theme="1"/>
      <name val="Calibri"/>
      <family val="2"/>
    </font>
    <font>
      <b/>
      <sz val="11"/>
      <color theme="1"/>
      <name val="Calibri"/>
      <family val="2"/>
      <scheme val="minor"/>
    </font>
    <font>
      <sz val="11"/>
      <color theme="0"/>
      <name val="Calibri"/>
      <family val="2"/>
      <scheme val="minor"/>
    </font>
    <font>
      <u/>
      <sz val="11"/>
      <color theme="10"/>
      <name val="Calibri"/>
      <family val="2"/>
      <scheme val="minor"/>
    </font>
    <font>
      <u/>
      <sz val="11"/>
      <color theme="10"/>
      <name val="Calibri"/>
      <family val="2"/>
      <scheme val="minor"/>
    </font>
    <font>
      <sz val="9"/>
      <color indexed="81"/>
      <name val="Tahoma"/>
      <family val="2"/>
    </font>
    <font>
      <b/>
      <sz val="9"/>
      <color indexed="81"/>
      <name val="Tahoma"/>
      <family val="2"/>
    </font>
    <font>
      <b/>
      <sz val="8"/>
      <color rgb="FF000000"/>
      <name val="Arial"/>
      <family val="2"/>
    </font>
    <font>
      <b/>
      <sz val="10"/>
      <name val="Arial"/>
      <family val="2"/>
    </font>
    <font>
      <sz val="11"/>
      <name val="Calibri"/>
      <family val="2"/>
    </font>
    <font>
      <b/>
      <sz val="9"/>
      <color theme="1"/>
      <name val="Arial"/>
      <family val="2"/>
    </font>
    <font>
      <b/>
      <sz val="8"/>
      <color theme="1"/>
      <name val="Arial"/>
      <family val="2"/>
    </font>
    <font>
      <b/>
      <sz val="10"/>
      <color theme="0"/>
      <name val="Arial"/>
      <family val="2"/>
    </font>
    <font>
      <b/>
      <sz val="10"/>
      <color theme="1"/>
      <name val="Calibri"/>
      <family val="2"/>
    </font>
    <font>
      <b/>
      <sz val="12"/>
      <color theme="1"/>
      <name val="Calibri"/>
      <family val="2"/>
    </font>
    <font>
      <b/>
      <sz val="9"/>
      <color theme="0"/>
      <name val="Arial"/>
      <family val="2"/>
    </font>
    <font>
      <sz val="9"/>
      <color rgb="FF000000"/>
      <name val="Arial"/>
      <family val="2"/>
    </font>
    <font>
      <sz val="11"/>
      <name val="Calibri"/>
      <family val="2"/>
      <scheme val="minor"/>
    </font>
  </fonts>
  <fills count="31">
    <fill>
      <patternFill patternType="none"/>
    </fill>
    <fill>
      <patternFill patternType="gray125"/>
    </fill>
    <fill>
      <patternFill patternType="solid">
        <fgColor theme="1"/>
        <bgColor theme="1"/>
      </patternFill>
    </fill>
    <fill>
      <patternFill patternType="solid">
        <fgColor rgb="FFFFFF00"/>
        <bgColor rgb="FFFFFF00"/>
      </patternFill>
    </fill>
    <fill>
      <patternFill patternType="solid">
        <fgColor theme="0"/>
        <bgColor theme="0"/>
      </patternFill>
    </fill>
    <fill>
      <patternFill patternType="solid">
        <fgColor rgb="FF757070"/>
        <bgColor rgb="FF757070"/>
      </patternFill>
    </fill>
    <fill>
      <patternFill patternType="solid">
        <fgColor rgb="FFFFD965"/>
        <bgColor rgb="FFFFD965"/>
      </patternFill>
    </fill>
    <fill>
      <patternFill patternType="solid">
        <fgColor rgb="FFC5E0B3"/>
        <bgColor rgb="FFC5E0B3"/>
      </patternFill>
    </fill>
    <fill>
      <patternFill patternType="solid">
        <fgColor rgb="FFC55A11"/>
        <bgColor rgb="FFC55A11"/>
      </patternFill>
    </fill>
    <fill>
      <patternFill patternType="solid">
        <fgColor rgb="FFA8D08D"/>
        <bgColor rgb="FFA8D08D"/>
      </patternFill>
    </fill>
    <fill>
      <patternFill patternType="solid">
        <fgColor rgb="FF8EAADB"/>
        <bgColor rgb="FF8EAADB"/>
      </patternFill>
    </fill>
    <fill>
      <patternFill patternType="solid">
        <fgColor rgb="FF92D050"/>
        <bgColor rgb="FF92D050"/>
      </patternFill>
    </fill>
    <fill>
      <patternFill patternType="solid">
        <fgColor rgb="FFFF0000"/>
        <bgColor rgb="FFFF0000"/>
      </patternFill>
    </fill>
    <fill>
      <patternFill patternType="solid">
        <fgColor rgb="FFFFFFFF"/>
        <bgColor rgb="FFFFFFFF"/>
      </patternFill>
    </fill>
    <fill>
      <patternFill patternType="solid">
        <fgColor rgb="FF00B050"/>
        <bgColor rgb="FF00B050"/>
      </patternFill>
    </fill>
    <fill>
      <patternFill patternType="solid">
        <fgColor rgb="FFD9E2F3"/>
        <bgColor rgb="FFD9E2F3"/>
      </patternFill>
    </fill>
    <fill>
      <patternFill patternType="solid">
        <fgColor rgb="FFB4C6E7"/>
        <bgColor rgb="FFB4C6E7"/>
      </patternFill>
    </fill>
    <fill>
      <patternFill patternType="solid">
        <fgColor theme="3" tint="0.499984740745262"/>
        <bgColor theme="1"/>
      </patternFill>
    </fill>
    <fill>
      <patternFill patternType="solid">
        <fgColor theme="3" tint="0.499984740745262"/>
        <bgColor indexed="64"/>
      </patternFill>
    </fill>
    <fill>
      <patternFill patternType="solid">
        <fgColor rgb="FFFFFF00"/>
        <bgColor indexed="64"/>
      </patternFill>
    </fill>
    <fill>
      <patternFill patternType="solid">
        <fgColor theme="1"/>
        <bgColor indexed="64"/>
      </patternFill>
    </fill>
    <fill>
      <patternFill patternType="solid">
        <fgColor theme="0"/>
        <bgColor indexed="64"/>
      </patternFill>
    </fill>
    <fill>
      <patternFill patternType="solid">
        <fgColor theme="1"/>
        <bgColor rgb="FFFF0000"/>
      </patternFill>
    </fill>
    <fill>
      <patternFill patternType="solid">
        <fgColor theme="9"/>
        <bgColor theme="1"/>
      </patternFill>
    </fill>
    <fill>
      <patternFill patternType="solid">
        <fgColor theme="9"/>
        <bgColor indexed="64"/>
      </patternFill>
    </fill>
    <fill>
      <patternFill patternType="solid">
        <fgColor theme="2"/>
        <bgColor indexed="64"/>
      </patternFill>
    </fill>
    <fill>
      <patternFill patternType="solid">
        <fgColor rgb="FFFF0000"/>
        <bgColor indexed="64"/>
      </patternFill>
    </fill>
    <fill>
      <patternFill patternType="solid">
        <fgColor rgb="FFFF0000"/>
        <bgColor rgb="FFFFFFFF"/>
      </patternFill>
    </fill>
    <fill>
      <patternFill patternType="solid">
        <fgColor rgb="FF00B050"/>
        <bgColor indexed="64"/>
      </patternFill>
    </fill>
    <fill>
      <patternFill patternType="solid">
        <fgColor theme="9" tint="0.39997558519241921"/>
        <bgColor indexed="64"/>
      </patternFill>
    </fill>
    <fill>
      <patternFill patternType="solid">
        <fgColor theme="9" tint="0.39997558519241921"/>
        <bgColor rgb="FFFFFFFF"/>
      </patternFill>
    </fill>
  </fills>
  <borders count="3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s>
  <cellStyleXfs count="4">
    <xf numFmtId="0" fontId="0" fillId="0" borderId="0"/>
    <xf numFmtId="44" fontId="26" fillId="0" borderId="0" applyFont="0" applyFill="0" applyBorder="0" applyAlignment="0" applyProtection="0"/>
    <xf numFmtId="9" fontId="26" fillId="0" borderId="0" applyFont="0" applyFill="0" applyBorder="0" applyAlignment="0" applyProtection="0"/>
    <xf numFmtId="0" fontId="34" fillId="0" borderId="0" applyNumberFormat="0" applyFill="0" applyBorder="0" applyAlignment="0" applyProtection="0"/>
  </cellStyleXfs>
  <cellXfs count="334">
    <xf numFmtId="0" fontId="0" fillId="0" borderId="0" xfId="0"/>
    <xf numFmtId="0" fontId="8" fillId="0" borderId="0" xfId="0" applyFont="1"/>
    <xf numFmtId="164" fontId="9" fillId="2" borderId="9" xfId="0" applyNumberFormat="1" applyFont="1" applyFill="1" applyBorder="1" applyAlignment="1">
      <alignment horizontal="center"/>
    </xf>
    <xf numFmtId="0" fontId="8" fillId="0" borderId="9" xfId="0" applyFont="1" applyBorder="1" applyAlignment="1">
      <alignment horizontal="center"/>
    </xf>
    <xf numFmtId="164" fontId="8" fillId="0" borderId="9" xfId="0" applyNumberFormat="1" applyFont="1" applyBorder="1" applyAlignment="1">
      <alignment horizontal="center"/>
    </xf>
    <xf numFmtId="164" fontId="8" fillId="0" borderId="9" xfId="0" applyNumberFormat="1" applyFont="1" applyBorder="1"/>
    <xf numFmtId="164" fontId="8" fillId="4" borderId="9" xfId="0" applyNumberFormat="1" applyFont="1" applyFill="1" applyBorder="1"/>
    <xf numFmtId="0" fontId="11" fillId="0" borderId="0" xfId="0" applyFont="1"/>
    <xf numFmtId="0" fontId="12" fillId="2" borderId="10" xfId="0" applyFont="1" applyFill="1" applyBorder="1" applyAlignment="1">
      <alignment horizontal="center"/>
    </xf>
    <xf numFmtId="0" fontId="13" fillId="0" borderId="0" xfId="0" applyFont="1" applyAlignment="1">
      <alignment horizontal="center"/>
    </xf>
    <xf numFmtId="0" fontId="11" fillId="6" borderId="9" xfId="0" applyFont="1" applyFill="1" applyBorder="1" applyAlignment="1">
      <alignment horizontal="center"/>
    </xf>
    <xf numFmtId="0" fontId="15" fillId="8" borderId="9" xfId="0" applyFont="1" applyFill="1" applyBorder="1"/>
    <xf numFmtId="164" fontId="15" fillId="8" borderId="9" xfId="0" applyNumberFormat="1" applyFont="1" applyFill="1" applyBorder="1" applyAlignment="1">
      <alignment horizontal="center"/>
    </xf>
    <xf numFmtId="0" fontId="15" fillId="8" borderId="9" xfId="0" applyFont="1" applyFill="1" applyBorder="1" applyAlignment="1">
      <alignment horizontal="center"/>
    </xf>
    <xf numFmtId="0" fontId="11" fillId="0" borderId="9" xfId="0" applyFont="1" applyBorder="1"/>
    <xf numFmtId="164" fontId="11" fillId="0" borderId="9" xfId="0" applyNumberFormat="1" applyFont="1" applyBorder="1"/>
    <xf numFmtId="165" fontId="11" fillId="0" borderId="9" xfId="0" applyNumberFormat="1" applyFont="1" applyBorder="1"/>
    <xf numFmtId="0" fontId="11" fillId="9" borderId="9" xfId="0" applyFont="1" applyFill="1" applyBorder="1" applyAlignment="1">
      <alignment horizontal="center" vertical="center"/>
    </xf>
    <xf numFmtId="0" fontId="11" fillId="10" borderId="9" xfId="0" applyFont="1" applyFill="1" applyBorder="1" applyAlignment="1">
      <alignment horizontal="center"/>
    </xf>
    <xf numFmtId="164" fontId="15" fillId="0" borderId="9" xfId="0" applyNumberFormat="1" applyFont="1" applyBorder="1"/>
    <xf numFmtId="164" fontId="15" fillId="8" borderId="10" xfId="0" applyNumberFormat="1" applyFont="1" applyFill="1" applyBorder="1" applyAlignment="1">
      <alignment horizontal="center"/>
    </xf>
    <xf numFmtId="0" fontId="15" fillId="8" borderId="10" xfId="0" applyFont="1" applyFill="1" applyBorder="1" applyAlignment="1">
      <alignment horizontal="center"/>
    </xf>
    <xf numFmtId="0" fontId="15" fillId="8" borderId="10" xfId="0" applyFont="1" applyFill="1" applyBorder="1"/>
    <xf numFmtId="164" fontId="11" fillId="0" borderId="0" xfId="0" applyNumberFormat="1" applyFont="1"/>
    <xf numFmtId="1" fontId="11" fillId="0" borderId="0" xfId="0" applyNumberFormat="1" applyFont="1"/>
    <xf numFmtId="2" fontId="11" fillId="0" borderId="0" xfId="0" applyNumberFormat="1" applyFont="1"/>
    <xf numFmtId="4" fontId="19" fillId="13" borderId="20" xfId="0" applyNumberFormat="1" applyFont="1" applyFill="1" applyBorder="1" applyAlignment="1">
      <alignment horizontal="center" vertical="center"/>
    </xf>
    <xf numFmtId="166" fontId="19" fillId="13" borderId="21" xfId="0" applyNumberFormat="1" applyFont="1" applyFill="1" applyBorder="1" applyAlignment="1">
      <alignment horizontal="center" vertical="center"/>
    </xf>
    <xf numFmtId="4" fontId="19" fillId="13" borderId="21" xfId="0" applyNumberFormat="1" applyFont="1" applyFill="1" applyBorder="1" applyAlignment="1">
      <alignment horizontal="center" vertical="center"/>
    </xf>
    <xf numFmtId="3" fontId="19" fillId="13" borderId="12" xfId="0" applyNumberFormat="1" applyFont="1" applyFill="1" applyBorder="1" applyAlignment="1">
      <alignment horizontal="center" vertical="center"/>
    </xf>
    <xf numFmtId="0" fontId="17" fillId="3" borderId="23" xfId="0" applyFont="1" applyFill="1" applyBorder="1" applyAlignment="1">
      <alignment horizontal="center" vertical="center" wrapText="1"/>
    </xf>
    <xf numFmtId="167" fontId="17" fillId="3" borderId="23" xfId="0" applyNumberFormat="1" applyFont="1" applyFill="1" applyBorder="1" applyAlignment="1">
      <alignment horizontal="center" vertical="center" wrapText="1"/>
    </xf>
    <xf numFmtId="4" fontId="17" fillId="3" borderId="12" xfId="0" applyNumberFormat="1" applyFont="1" applyFill="1" applyBorder="1" applyAlignment="1">
      <alignment horizontal="center" vertical="center" wrapText="1"/>
    </xf>
    <xf numFmtId="0" fontId="19" fillId="13" borderId="24" xfId="0" applyFont="1" applyFill="1" applyBorder="1" applyAlignment="1">
      <alignment horizontal="center" vertical="center"/>
    </xf>
    <xf numFmtId="168" fontId="17" fillId="13" borderId="12" xfId="0" applyNumberFormat="1" applyFont="1" applyFill="1" applyBorder="1" applyAlignment="1">
      <alignment vertical="center"/>
    </xf>
    <xf numFmtId="0" fontId="19" fillId="13" borderId="25" xfId="0" applyFont="1" applyFill="1" applyBorder="1" applyAlignment="1">
      <alignment horizontal="center" vertical="center"/>
    </xf>
    <xf numFmtId="1" fontId="19" fillId="13" borderId="24" xfId="0" applyNumberFormat="1" applyFont="1" applyFill="1" applyBorder="1" applyAlignment="1">
      <alignment horizontal="center" vertical="center"/>
    </xf>
    <xf numFmtId="0" fontId="19" fillId="0" borderId="29" xfId="0" applyFont="1" applyBorder="1" applyAlignment="1">
      <alignment horizontal="left"/>
    </xf>
    <xf numFmtId="0" fontId="20" fillId="14" borderId="10" xfId="0" applyFont="1" applyFill="1" applyBorder="1"/>
    <xf numFmtId="170" fontId="22" fillId="15" borderId="9" xfId="0" applyNumberFormat="1" applyFont="1" applyFill="1" applyBorder="1" applyAlignment="1">
      <alignment vertical="center"/>
    </xf>
    <xf numFmtId="9" fontId="21" fillId="16" borderId="9" xfId="0" applyNumberFormat="1" applyFont="1" applyFill="1" applyBorder="1" applyAlignment="1">
      <alignment horizontal="center" vertical="center"/>
    </xf>
    <xf numFmtId="170" fontId="23" fillId="16" borderId="9" xfId="0" applyNumberFormat="1" applyFont="1" applyFill="1" applyBorder="1" applyAlignment="1">
      <alignment vertical="center"/>
    </xf>
    <xf numFmtId="170" fontId="21" fillId="16" borderId="9" xfId="0" applyNumberFormat="1" applyFont="1" applyFill="1" applyBorder="1" applyAlignment="1">
      <alignment vertical="center"/>
    </xf>
    <xf numFmtId="0" fontId="21" fillId="3" borderId="23" xfId="0" applyFont="1" applyFill="1" applyBorder="1" applyAlignment="1">
      <alignment horizontal="center" vertical="center" wrapText="1"/>
    </xf>
    <xf numFmtId="167" fontId="21" fillId="3" borderId="23" xfId="0" applyNumberFormat="1" applyFont="1" applyFill="1" applyBorder="1" applyAlignment="1">
      <alignment horizontal="center" vertical="center" wrapText="1"/>
    </xf>
    <xf numFmtId="4" fontId="21" fillId="3" borderId="24" xfId="0" applyNumberFormat="1" applyFont="1" applyFill="1" applyBorder="1" applyAlignment="1">
      <alignment horizontal="center" vertical="center" wrapText="1"/>
    </xf>
    <xf numFmtId="4" fontId="21" fillId="3" borderId="12" xfId="0" applyNumberFormat="1" applyFont="1" applyFill="1" applyBorder="1" applyAlignment="1">
      <alignment horizontal="center" vertical="center" wrapText="1"/>
    </xf>
    <xf numFmtId="0" fontId="21" fillId="13" borderId="9" xfId="0" applyFont="1" applyFill="1" applyBorder="1" applyAlignment="1">
      <alignment horizontal="center" vertical="center" wrapText="1"/>
    </xf>
    <xf numFmtId="169" fontId="21" fillId="0" borderId="9" xfId="0" applyNumberFormat="1" applyFont="1" applyBorder="1" applyAlignment="1">
      <alignment horizontal="left"/>
    </xf>
    <xf numFmtId="169" fontId="21" fillId="13" borderId="9" xfId="0" applyNumberFormat="1" applyFont="1" applyFill="1" applyBorder="1" applyAlignment="1">
      <alignment horizontal="center" vertical="center"/>
    </xf>
    <xf numFmtId="3" fontId="21" fillId="13" borderId="9" xfId="0" applyNumberFormat="1" applyFont="1" applyFill="1" applyBorder="1" applyAlignment="1">
      <alignment horizontal="center" vertical="center"/>
    </xf>
    <xf numFmtId="4" fontId="21" fillId="13" borderId="9" xfId="0" applyNumberFormat="1" applyFont="1" applyFill="1" applyBorder="1" applyAlignment="1">
      <alignment horizontal="center" vertical="center" wrapText="1"/>
    </xf>
    <xf numFmtId="3" fontId="21" fillId="13" borderId="9" xfId="0" applyNumberFormat="1" applyFont="1" applyFill="1" applyBorder="1" applyAlignment="1">
      <alignment vertical="center"/>
    </xf>
    <xf numFmtId="0" fontId="23" fillId="13" borderId="12" xfId="0" applyFont="1" applyFill="1" applyBorder="1" applyAlignment="1">
      <alignment horizontal="center" vertical="center"/>
    </xf>
    <xf numFmtId="3" fontId="21" fillId="13" borderId="12" xfId="0" applyNumberFormat="1" applyFont="1" applyFill="1" applyBorder="1" applyAlignment="1">
      <alignment horizontal="center" vertical="center"/>
    </xf>
    <xf numFmtId="0" fontId="23" fillId="13" borderId="9" xfId="0" applyFont="1" applyFill="1" applyBorder="1" applyAlignment="1">
      <alignment horizontal="center" vertical="center"/>
    </xf>
    <xf numFmtId="3" fontId="22" fillId="15" borderId="9" xfId="0" applyNumberFormat="1" applyFont="1" applyFill="1" applyBorder="1" applyAlignment="1">
      <alignment vertical="center"/>
    </xf>
    <xf numFmtId="3" fontId="23" fillId="16" borderId="9" xfId="0" applyNumberFormat="1" applyFont="1" applyFill="1" applyBorder="1" applyAlignment="1">
      <alignment vertical="center"/>
    </xf>
    <xf numFmtId="3" fontId="21" fillId="15" borderId="9" xfId="0" applyNumberFormat="1" applyFont="1" applyFill="1" applyBorder="1" applyAlignment="1">
      <alignment vertical="center"/>
    </xf>
    <xf numFmtId="3" fontId="24" fillId="16" borderId="9" xfId="0" applyNumberFormat="1" applyFont="1" applyFill="1" applyBorder="1" applyAlignment="1">
      <alignment vertical="center"/>
    </xf>
    <xf numFmtId="0" fontId="25" fillId="3" borderId="9" xfId="0" applyFont="1" applyFill="1" applyBorder="1"/>
    <xf numFmtId="9" fontId="21" fillId="15" borderId="9" xfId="0" applyNumberFormat="1" applyFont="1" applyFill="1" applyBorder="1" applyAlignment="1">
      <alignment vertical="center"/>
    </xf>
    <xf numFmtId="171" fontId="26" fillId="0" borderId="0" xfId="0" applyNumberFormat="1" applyFont="1"/>
    <xf numFmtId="9" fontId="26" fillId="0" borderId="0" xfId="0" applyNumberFormat="1" applyFont="1"/>
    <xf numFmtId="0" fontId="11" fillId="15" borderId="10" xfId="0" applyFont="1" applyFill="1" applyBorder="1"/>
    <xf numFmtId="9" fontId="23" fillId="16" borderId="9" xfId="0" applyNumberFormat="1" applyFont="1" applyFill="1" applyBorder="1" applyAlignment="1">
      <alignment vertical="center"/>
    </xf>
    <xf numFmtId="9" fontId="21" fillId="15" borderId="9" xfId="0" applyNumberFormat="1" applyFont="1" applyFill="1" applyBorder="1" applyAlignment="1">
      <alignment horizontal="center" vertical="center"/>
    </xf>
    <xf numFmtId="3" fontId="22" fillId="16" borderId="9" xfId="0" applyNumberFormat="1" applyFont="1" applyFill="1" applyBorder="1" applyAlignment="1">
      <alignment vertical="center"/>
    </xf>
    <xf numFmtId="164" fontId="9" fillId="2" borderId="31" xfId="0" applyNumberFormat="1" applyFont="1" applyFill="1" applyBorder="1" applyAlignment="1">
      <alignment horizontal="center"/>
    </xf>
    <xf numFmtId="164" fontId="10" fillId="2" borderId="31" xfId="0" applyNumberFormat="1" applyFont="1" applyFill="1" applyBorder="1" applyAlignment="1">
      <alignment horizontal="center"/>
    </xf>
    <xf numFmtId="169" fontId="30" fillId="0" borderId="9" xfId="0" applyNumberFormat="1" applyFont="1" applyBorder="1" applyAlignment="1">
      <alignment horizontal="left"/>
    </xf>
    <xf numFmtId="169" fontId="30" fillId="0" borderId="29" xfId="0" applyNumberFormat="1" applyFont="1" applyBorder="1" applyAlignment="1">
      <alignment horizontal="left"/>
    </xf>
    <xf numFmtId="0" fontId="23" fillId="13" borderId="29" xfId="0" applyFont="1" applyFill="1" applyBorder="1" applyAlignment="1">
      <alignment horizontal="center" vertical="center"/>
    </xf>
    <xf numFmtId="3" fontId="21" fillId="13" borderId="29" xfId="0" applyNumberFormat="1" applyFont="1" applyFill="1" applyBorder="1" applyAlignment="1">
      <alignment horizontal="center" vertical="center"/>
    </xf>
    <xf numFmtId="169" fontId="30" fillId="13" borderId="9" xfId="0" applyNumberFormat="1" applyFont="1" applyFill="1" applyBorder="1" applyAlignment="1">
      <alignment horizontal="center" vertical="center"/>
    </xf>
    <xf numFmtId="0" fontId="29" fillId="13" borderId="25" xfId="0" applyFont="1" applyFill="1" applyBorder="1" applyAlignment="1">
      <alignment horizontal="center" vertical="center"/>
    </xf>
    <xf numFmtId="0" fontId="29" fillId="0" borderId="29" xfId="0" applyFont="1" applyBorder="1" applyAlignment="1">
      <alignment horizontal="left"/>
    </xf>
    <xf numFmtId="0" fontId="29" fillId="0" borderId="9" xfId="0" applyFont="1" applyBorder="1" applyAlignment="1">
      <alignment horizontal="center"/>
    </xf>
    <xf numFmtId="3" fontId="21" fillId="13" borderId="9" xfId="0" applyNumberFormat="1" applyFont="1" applyFill="1" applyBorder="1" applyAlignment="1">
      <alignment horizontal="center" vertical="center" wrapText="1"/>
    </xf>
    <xf numFmtId="0" fontId="4" fillId="0" borderId="0" xfId="0" applyFont="1"/>
    <xf numFmtId="0" fontId="4" fillId="0" borderId="30" xfId="0" applyFont="1" applyBorder="1"/>
    <xf numFmtId="0" fontId="4" fillId="0" borderId="30" xfId="0" applyFont="1" applyBorder="1" applyAlignment="1">
      <alignment vertical="center"/>
    </xf>
    <xf numFmtId="0" fontId="0" fillId="0" borderId="30" xfId="0" applyBorder="1" applyAlignment="1">
      <alignment vertical="center"/>
    </xf>
    <xf numFmtId="0" fontId="4" fillId="0" borderId="30" xfId="0" applyFont="1" applyBorder="1" applyAlignment="1">
      <alignment horizontal="center" vertical="center"/>
    </xf>
    <xf numFmtId="0" fontId="0" fillId="0" borderId="30" xfId="0" applyBorder="1" applyAlignment="1">
      <alignment horizontal="center" vertical="center"/>
    </xf>
    <xf numFmtId="0" fontId="0" fillId="0" borderId="10" xfId="0" applyBorder="1" applyAlignment="1">
      <alignment horizontal="center" vertical="center"/>
    </xf>
    <xf numFmtId="44" fontId="0" fillId="0" borderId="30" xfId="1" applyFont="1" applyBorder="1" applyAlignment="1">
      <alignment horizontal="center" vertical="center"/>
    </xf>
    <xf numFmtId="44" fontId="0" fillId="0" borderId="30" xfId="1" applyFont="1" applyBorder="1"/>
    <xf numFmtId="0" fontId="4" fillId="21" borderId="30" xfId="0" applyFont="1" applyFill="1" applyBorder="1"/>
    <xf numFmtId="44" fontId="0" fillId="0" borderId="30" xfId="1" applyFont="1" applyBorder="1" applyAlignment="1">
      <alignment vertical="center"/>
    </xf>
    <xf numFmtId="44" fontId="0" fillId="0" borderId="0" xfId="0" applyNumberFormat="1"/>
    <xf numFmtId="9" fontId="0" fillId="0" borderId="0" xfId="2" applyFont="1"/>
    <xf numFmtId="0" fontId="32" fillId="21" borderId="30" xfId="0" applyFont="1" applyFill="1" applyBorder="1" applyAlignment="1">
      <alignment horizontal="center" vertical="center"/>
    </xf>
    <xf numFmtId="44" fontId="0" fillId="0" borderId="30" xfId="2" applyNumberFormat="1" applyFont="1" applyBorder="1" applyAlignment="1">
      <alignment horizontal="center" vertical="center"/>
    </xf>
    <xf numFmtId="44" fontId="0" fillId="0" borderId="0" xfId="1" applyFont="1"/>
    <xf numFmtId="9" fontId="4" fillId="0" borderId="30" xfId="2" applyFont="1" applyBorder="1" applyAlignment="1">
      <alignment horizontal="center" vertical="center"/>
    </xf>
    <xf numFmtId="10" fontId="0" fillId="0" borderId="30" xfId="2" applyNumberFormat="1" applyFont="1" applyBorder="1" applyAlignment="1">
      <alignment horizontal="center" vertical="center"/>
    </xf>
    <xf numFmtId="0" fontId="4" fillId="0" borderId="30" xfId="0" applyFont="1" applyBorder="1" applyAlignment="1">
      <alignment horizontal="center" vertical="center" wrapText="1"/>
    </xf>
    <xf numFmtId="3" fontId="8" fillId="0" borderId="9" xfId="0" applyNumberFormat="1" applyFont="1" applyBorder="1" applyAlignment="1">
      <alignment horizontal="center" vertical="center"/>
    </xf>
    <xf numFmtId="0" fontId="8" fillId="0" borderId="9" xfId="0" applyFont="1" applyBorder="1" applyAlignment="1">
      <alignment horizontal="center" vertical="center"/>
    </xf>
    <xf numFmtId="0" fontId="28" fillId="0" borderId="9" xfId="0" applyFont="1" applyBorder="1" applyAlignment="1">
      <alignment horizontal="center" vertical="center"/>
    </xf>
    <xf numFmtId="3" fontId="28" fillId="0" borderId="9" xfId="0" applyNumberFormat="1" applyFont="1" applyBorder="1" applyAlignment="1">
      <alignment horizontal="center" vertical="center"/>
    </xf>
    <xf numFmtId="0" fontId="8" fillId="0" borderId="0" xfId="0" applyFont="1" applyAlignment="1">
      <alignment horizontal="center" vertical="center"/>
    </xf>
    <xf numFmtId="0" fontId="0" fillId="0" borderId="0" xfId="0" applyAlignment="1">
      <alignment horizontal="center" vertical="center"/>
    </xf>
    <xf numFmtId="1" fontId="29" fillId="13" borderId="24" xfId="0" applyNumberFormat="1" applyFont="1" applyFill="1" applyBorder="1" applyAlignment="1">
      <alignment horizontal="center" vertical="center"/>
    </xf>
    <xf numFmtId="0" fontId="29" fillId="0" borderId="29" xfId="0" applyFont="1" applyBorder="1" applyAlignment="1">
      <alignment horizontal="center"/>
    </xf>
    <xf numFmtId="0" fontId="0" fillId="0" borderId="10" xfId="0" applyBorder="1"/>
    <xf numFmtId="3" fontId="41" fillId="0" borderId="9" xfId="0" applyNumberFormat="1" applyFont="1" applyBorder="1" applyAlignment="1">
      <alignment horizontal="center" vertical="center"/>
    </xf>
    <xf numFmtId="3" fontId="42" fillId="0" borderId="9" xfId="0" applyNumberFormat="1" applyFont="1" applyBorder="1" applyAlignment="1">
      <alignment horizontal="center" vertical="center"/>
    </xf>
    <xf numFmtId="164" fontId="43" fillId="2" borderId="9" xfId="0" applyNumberFormat="1" applyFont="1" applyFill="1" applyBorder="1" applyAlignment="1">
      <alignment horizontal="center"/>
    </xf>
    <xf numFmtId="44" fontId="8" fillId="4" borderId="9" xfId="1" applyFont="1" applyFill="1" applyBorder="1"/>
    <xf numFmtId="172" fontId="8" fillId="0" borderId="0" xfId="1" applyNumberFormat="1" applyFont="1"/>
    <xf numFmtId="172" fontId="8" fillId="4" borderId="9" xfId="1" applyNumberFormat="1" applyFont="1" applyFill="1" applyBorder="1"/>
    <xf numFmtId="0" fontId="3" fillId="0" borderId="30" xfId="0" applyFont="1" applyBorder="1" applyAlignment="1">
      <alignment horizontal="center" vertical="center"/>
    </xf>
    <xf numFmtId="44" fontId="0" fillId="0" borderId="10" xfId="0" applyNumberFormat="1" applyBorder="1" applyAlignment="1">
      <alignment horizontal="center" vertical="center"/>
    </xf>
    <xf numFmtId="0" fontId="3" fillId="0" borderId="10" xfId="0" applyFont="1" applyBorder="1" applyAlignment="1">
      <alignment horizontal="center" vertical="center"/>
    </xf>
    <xf numFmtId="44" fontId="0" fillId="0" borderId="10" xfId="1" applyFont="1" applyBorder="1" applyAlignment="1">
      <alignment horizontal="center" vertical="center"/>
    </xf>
    <xf numFmtId="44" fontId="3" fillId="0" borderId="10" xfId="1" applyFont="1" applyBorder="1" applyAlignment="1">
      <alignment horizontal="center" vertical="center"/>
    </xf>
    <xf numFmtId="0" fontId="15" fillId="8" borderId="9" xfId="0" applyFont="1" applyFill="1" applyBorder="1" applyAlignment="1">
      <alignment horizontal="center" vertical="center"/>
    </xf>
    <xf numFmtId="0" fontId="11" fillId="0" borderId="9" xfId="0" applyFont="1" applyBorder="1" applyAlignment="1">
      <alignment horizontal="center" vertical="center"/>
    </xf>
    <xf numFmtId="0" fontId="27" fillId="0" borderId="9" xfId="0" applyFont="1" applyBorder="1" applyAlignment="1">
      <alignment horizontal="center" vertical="center"/>
    </xf>
    <xf numFmtId="0" fontId="15" fillId="8" borderId="12" xfId="0" applyFont="1" applyFill="1" applyBorder="1" applyAlignment="1">
      <alignment horizontal="center" vertical="center"/>
    </xf>
    <xf numFmtId="0" fontId="11" fillId="0" borderId="0" xfId="0" applyFont="1" applyAlignment="1">
      <alignment horizontal="center" vertical="center"/>
    </xf>
    <xf numFmtId="0" fontId="45" fillId="8" borderId="9" xfId="0" applyFont="1" applyFill="1" applyBorder="1" applyAlignment="1">
      <alignment horizontal="center" vertical="center"/>
    </xf>
    <xf numFmtId="0" fontId="14" fillId="8" borderId="9" xfId="0" applyFont="1" applyFill="1" applyBorder="1" applyAlignment="1">
      <alignment horizontal="center" vertical="center"/>
    </xf>
    <xf numFmtId="0" fontId="14" fillId="8" borderId="12" xfId="0" applyFont="1" applyFill="1" applyBorder="1" applyAlignment="1">
      <alignment horizontal="center" vertical="center"/>
    </xf>
    <xf numFmtId="0" fontId="16" fillId="0" borderId="9" xfId="0" applyFont="1" applyBorder="1" applyAlignment="1">
      <alignment horizontal="center" vertical="center"/>
    </xf>
    <xf numFmtId="0" fontId="31" fillId="0" borderId="9" xfId="0" applyFont="1" applyBorder="1" applyAlignment="1">
      <alignment horizontal="center" vertical="center"/>
    </xf>
    <xf numFmtId="0" fontId="16" fillId="19" borderId="9" xfId="0" applyFont="1" applyFill="1" applyBorder="1" applyAlignment="1">
      <alignment horizontal="center" vertical="center"/>
    </xf>
    <xf numFmtId="0" fontId="11" fillId="19" borderId="9" xfId="0" applyFont="1" applyFill="1" applyBorder="1" applyAlignment="1">
      <alignment horizontal="center" vertical="center"/>
    </xf>
    <xf numFmtId="164" fontId="11" fillId="19" borderId="9" xfId="0" applyNumberFormat="1" applyFont="1" applyFill="1" applyBorder="1"/>
    <xf numFmtId="165" fontId="11" fillId="19" borderId="9" xfId="0" applyNumberFormat="1" applyFont="1" applyFill="1" applyBorder="1"/>
    <xf numFmtId="0" fontId="16" fillId="25" borderId="9" xfId="0" applyFont="1" applyFill="1" applyBorder="1" applyAlignment="1">
      <alignment horizontal="center" vertical="center"/>
    </xf>
    <xf numFmtId="0" fontId="11" fillId="25" borderId="9" xfId="0" applyFont="1" applyFill="1" applyBorder="1" applyAlignment="1">
      <alignment horizontal="center" vertical="center"/>
    </xf>
    <xf numFmtId="164" fontId="11" fillId="25" borderId="9" xfId="0" applyNumberFormat="1" applyFont="1" applyFill="1" applyBorder="1"/>
    <xf numFmtId="165" fontId="11" fillId="25" borderId="9" xfId="0" applyNumberFormat="1" applyFont="1" applyFill="1" applyBorder="1"/>
    <xf numFmtId="168" fontId="17" fillId="13" borderId="29" xfId="0" applyNumberFormat="1" applyFont="1" applyFill="1" applyBorder="1" applyAlignment="1">
      <alignment vertical="center"/>
    </xf>
    <xf numFmtId="167" fontId="29" fillId="13" borderId="24" xfId="0" applyNumberFormat="1" applyFont="1" applyFill="1" applyBorder="1" applyAlignment="1">
      <alignment horizontal="center" vertical="center"/>
    </xf>
    <xf numFmtId="166" fontId="19" fillId="13" borderId="21" xfId="0" applyNumberFormat="1" applyFont="1" applyFill="1" applyBorder="1" applyAlignment="1">
      <alignment vertical="center"/>
    </xf>
    <xf numFmtId="169" fontId="30" fillId="0" borderId="9" xfId="0" applyNumberFormat="1" applyFont="1" applyBorder="1" applyAlignment="1">
      <alignment horizontal="center"/>
    </xf>
    <xf numFmtId="169" fontId="30" fillId="0" borderId="29" xfId="0" applyNumberFormat="1" applyFont="1" applyBorder="1" applyAlignment="1">
      <alignment horizontal="center"/>
    </xf>
    <xf numFmtId="169" fontId="30" fillId="0" borderId="9" xfId="0" applyNumberFormat="1" applyFont="1" applyBorder="1" applyAlignment="1">
      <alignment horizontal="center" vertical="center"/>
    </xf>
    <xf numFmtId="0" fontId="2" fillId="0" borderId="30" xfId="0" applyFont="1" applyBorder="1" applyAlignment="1">
      <alignment vertical="center"/>
    </xf>
    <xf numFmtId="0" fontId="31" fillId="25" borderId="9" xfId="0" applyFont="1" applyFill="1" applyBorder="1" applyAlignment="1">
      <alignment horizontal="center" vertical="center"/>
    </xf>
    <xf numFmtId="0" fontId="29" fillId="0" borderId="9" xfId="0" applyFont="1" applyBorder="1" applyAlignment="1">
      <alignment horizontal="center" vertical="center"/>
    </xf>
    <xf numFmtId="0" fontId="29" fillId="0" borderId="29" xfId="0" applyFont="1" applyBorder="1" applyAlignment="1">
      <alignment horizontal="center" vertical="center"/>
    </xf>
    <xf numFmtId="0" fontId="29" fillId="13" borderId="25" xfId="0" applyFont="1" applyFill="1" applyBorder="1" applyAlignment="1">
      <alignment horizontal="center"/>
    </xf>
    <xf numFmtId="168" fontId="29" fillId="13" borderId="12" xfId="0" applyNumberFormat="1" applyFont="1" applyFill="1" applyBorder="1" applyAlignment="1">
      <alignment horizontal="center" vertical="center"/>
    </xf>
    <xf numFmtId="168" fontId="29" fillId="13" borderId="12" xfId="0" applyNumberFormat="1" applyFont="1" applyFill="1" applyBorder="1" applyAlignment="1">
      <alignment vertical="center"/>
    </xf>
    <xf numFmtId="44" fontId="29" fillId="13" borderId="24" xfId="1" applyFont="1" applyFill="1" applyBorder="1" applyAlignment="1">
      <alignment horizontal="center" vertical="center"/>
    </xf>
    <xf numFmtId="1" fontId="29" fillId="13" borderId="24" xfId="0" applyNumberFormat="1" applyFont="1" applyFill="1" applyBorder="1" applyAlignment="1">
      <alignment horizontal="center"/>
    </xf>
    <xf numFmtId="168" fontId="29" fillId="13" borderId="12" xfId="0" applyNumberFormat="1" applyFont="1" applyFill="1" applyBorder="1" applyAlignment="1">
      <alignment horizontal="center"/>
    </xf>
    <xf numFmtId="44" fontId="29" fillId="13" borderId="24" xfId="1" applyFont="1" applyFill="1" applyBorder="1" applyAlignment="1">
      <alignment horizontal="center"/>
    </xf>
    <xf numFmtId="0" fontId="2" fillId="0" borderId="0" xfId="0" applyFont="1"/>
    <xf numFmtId="0" fontId="2" fillId="26" borderId="0" xfId="0" applyFont="1" applyFill="1"/>
    <xf numFmtId="0" fontId="0" fillId="26" borderId="0" xfId="0" applyFill="1"/>
    <xf numFmtId="0" fontId="38" fillId="0" borderId="9" xfId="0" applyFont="1" applyBorder="1" applyAlignment="1">
      <alignment horizontal="center"/>
    </xf>
    <xf numFmtId="44" fontId="29" fillId="13" borderId="24" xfId="1" applyFont="1" applyFill="1" applyBorder="1" applyAlignment="1">
      <alignment vertical="center"/>
    </xf>
    <xf numFmtId="44" fontId="17" fillId="13" borderId="24" xfId="1" applyFont="1" applyFill="1" applyBorder="1" applyAlignment="1">
      <alignment vertical="center"/>
    </xf>
    <xf numFmtId="44" fontId="19" fillId="13" borderId="24" xfId="1" applyFont="1" applyFill="1" applyBorder="1" applyAlignment="1">
      <alignment vertical="center"/>
    </xf>
    <xf numFmtId="44" fontId="19" fillId="13" borderId="20" xfId="1" applyFont="1" applyFill="1" applyBorder="1" applyAlignment="1">
      <alignment horizontal="center" vertical="center"/>
    </xf>
    <xf numFmtId="44" fontId="19" fillId="13" borderId="21" xfId="1" applyFont="1" applyFill="1" applyBorder="1" applyAlignment="1">
      <alignment horizontal="center" vertical="center"/>
    </xf>
    <xf numFmtId="44" fontId="17" fillId="3" borderId="24" xfId="1" applyFont="1" applyFill="1" applyBorder="1" applyAlignment="1">
      <alignment horizontal="center" vertical="center" wrapText="1"/>
    </xf>
    <xf numFmtId="44" fontId="19" fillId="13" borderId="20" xfId="1" applyFont="1" applyFill="1" applyBorder="1" applyAlignment="1">
      <alignment vertical="center"/>
    </xf>
    <xf numFmtId="10" fontId="21" fillId="16" borderId="9" xfId="1" applyNumberFormat="1" applyFont="1" applyFill="1" applyBorder="1" applyAlignment="1">
      <alignment horizontal="center" vertical="center"/>
    </xf>
    <xf numFmtId="9" fontId="21" fillId="16" borderId="9" xfId="2" applyFont="1" applyFill="1" applyBorder="1" applyAlignment="1">
      <alignment horizontal="center" vertical="center"/>
    </xf>
    <xf numFmtId="44" fontId="21" fillId="13" borderId="9" xfId="1" applyFont="1" applyFill="1" applyBorder="1" applyAlignment="1">
      <alignment horizontal="center" vertical="center" wrapText="1"/>
    </xf>
    <xf numFmtId="44" fontId="21" fillId="13" borderId="9" xfId="1" applyFont="1" applyFill="1" applyBorder="1" applyAlignment="1">
      <alignment vertical="center"/>
    </xf>
    <xf numFmtId="172" fontId="21" fillId="13" borderId="9" xfId="1" applyNumberFormat="1" applyFont="1" applyFill="1" applyBorder="1" applyAlignment="1">
      <alignment horizontal="center" vertical="center" wrapText="1"/>
    </xf>
    <xf numFmtId="172" fontId="21" fillId="13" borderId="9" xfId="1" applyNumberFormat="1" applyFont="1" applyFill="1" applyBorder="1" applyAlignment="1">
      <alignment vertical="center"/>
    </xf>
    <xf numFmtId="44" fontId="21" fillId="13" borderId="9" xfId="1" applyFont="1" applyFill="1" applyBorder="1" applyAlignment="1">
      <alignment horizontal="center" vertical="center"/>
    </xf>
    <xf numFmtId="172" fontId="21" fillId="13" borderId="9" xfId="1" applyNumberFormat="1" applyFont="1" applyFill="1" applyBorder="1" applyAlignment="1">
      <alignment horizontal="center" vertical="center"/>
    </xf>
    <xf numFmtId="169" fontId="30" fillId="0" borderId="29" xfId="0" applyNumberFormat="1" applyFont="1" applyBorder="1" applyAlignment="1">
      <alignment horizontal="center" vertical="center"/>
    </xf>
    <xf numFmtId="169" fontId="21" fillId="0" borderId="9" xfId="0" applyNumberFormat="1" applyFont="1" applyBorder="1" applyAlignment="1">
      <alignment horizontal="center" vertical="center"/>
    </xf>
    <xf numFmtId="166" fontId="47" fillId="13" borderId="21" xfId="0" applyNumberFormat="1" applyFont="1" applyFill="1" applyBorder="1" applyAlignment="1">
      <alignment horizontal="center" vertical="center"/>
    </xf>
    <xf numFmtId="0" fontId="28" fillId="0" borderId="0" xfId="0" applyFont="1"/>
    <xf numFmtId="169" fontId="21" fillId="13" borderId="29" xfId="0" applyNumberFormat="1" applyFont="1" applyFill="1" applyBorder="1" applyAlignment="1">
      <alignment horizontal="center" vertical="center"/>
    </xf>
    <xf numFmtId="172" fontId="21" fillId="13" borderId="9" xfId="0" applyNumberFormat="1" applyFont="1" applyFill="1" applyBorder="1" applyAlignment="1">
      <alignment horizontal="center" vertical="center" wrapText="1"/>
    </xf>
    <xf numFmtId="172" fontId="30" fillId="0" borderId="9" xfId="0" applyNumberFormat="1" applyFont="1" applyBorder="1" applyAlignment="1">
      <alignment horizontal="left"/>
    </xf>
    <xf numFmtId="172" fontId="30" fillId="13" borderId="9" xfId="0" applyNumberFormat="1" applyFont="1" applyFill="1" applyBorder="1" applyAlignment="1">
      <alignment horizontal="center" vertical="center"/>
    </xf>
    <xf numFmtId="172" fontId="21" fillId="13" borderId="9" xfId="0" applyNumberFormat="1" applyFont="1" applyFill="1" applyBorder="1" applyAlignment="1">
      <alignment horizontal="center" vertical="center"/>
    </xf>
    <xf numFmtId="172" fontId="23" fillId="13" borderId="12" xfId="0" applyNumberFormat="1" applyFont="1" applyFill="1" applyBorder="1" applyAlignment="1">
      <alignment horizontal="center" vertical="center"/>
    </xf>
    <xf numFmtId="172" fontId="30" fillId="0" borderId="29" xfId="0" applyNumberFormat="1" applyFont="1" applyBorder="1" applyAlignment="1">
      <alignment horizontal="left"/>
    </xf>
    <xf numFmtId="172" fontId="23" fillId="13" borderId="29" xfId="0" applyNumberFormat="1" applyFont="1" applyFill="1" applyBorder="1" applyAlignment="1">
      <alignment horizontal="center" vertical="center"/>
    </xf>
    <xf numFmtId="172" fontId="23" fillId="13" borderId="9" xfId="0" applyNumberFormat="1" applyFont="1" applyFill="1" applyBorder="1" applyAlignment="1">
      <alignment horizontal="center" vertical="center"/>
    </xf>
    <xf numFmtId="172" fontId="21" fillId="0" borderId="9" xfId="0" applyNumberFormat="1" applyFont="1" applyBorder="1" applyAlignment="1">
      <alignment horizontal="left"/>
    </xf>
    <xf numFmtId="172" fontId="22" fillId="15" borderId="9" xfId="1" applyNumberFormat="1" applyFont="1" applyFill="1" applyBorder="1" applyAlignment="1">
      <alignment vertical="center"/>
    </xf>
    <xf numFmtId="0" fontId="21" fillId="13" borderId="9" xfId="0" applyFont="1" applyFill="1" applyBorder="1" applyAlignment="1">
      <alignment horizontal="center" vertical="center"/>
    </xf>
    <xf numFmtId="0" fontId="21" fillId="13" borderId="12" xfId="0" applyFont="1" applyFill="1" applyBorder="1" applyAlignment="1">
      <alignment horizontal="center" vertical="center"/>
    </xf>
    <xf numFmtId="0" fontId="21" fillId="13" borderId="29" xfId="0" applyFont="1" applyFill="1" applyBorder="1" applyAlignment="1">
      <alignment horizontal="center" vertical="center"/>
    </xf>
    <xf numFmtId="44" fontId="23" fillId="16" borderId="9" xfId="1" applyFont="1" applyFill="1" applyBorder="1" applyAlignment="1">
      <alignment vertical="center"/>
    </xf>
    <xf numFmtId="172" fontId="21" fillId="15" borderId="9" xfId="1" applyNumberFormat="1" applyFont="1" applyFill="1" applyBorder="1" applyAlignment="1">
      <alignment vertical="center"/>
    </xf>
    <xf numFmtId="172" fontId="24" fillId="16" borderId="9" xfId="1" applyNumberFormat="1" applyFont="1" applyFill="1" applyBorder="1" applyAlignment="1">
      <alignment vertical="center"/>
    </xf>
    <xf numFmtId="44" fontId="30" fillId="27" borderId="9" xfId="1" applyFont="1" applyFill="1" applyBorder="1" applyAlignment="1">
      <alignment horizontal="center" vertical="center" wrapText="1"/>
    </xf>
    <xf numFmtId="3" fontId="30" fillId="13" borderId="9" xfId="0" applyNumberFormat="1" applyFont="1" applyFill="1" applyBorder="1" applyAlignment="1">
      <alignment horizontal="center" vertical="center"/>
    </xf>
    <xf numFmtId="0" fontId="39" fillId="3" borderId="10" xfId="0" applyFont="1" applyFill="1" applyBorder="1"/>
    <xf numFmtId="164" fontId="39" fillId="0" borderId="9" xfId="0" applyNumberFormat="1" applyFont="1" applyBorder="1"/>
    <xf numFmtId="9" fontId="39" fillId="0" borderId="9" xfId="2" applyFont="1" applyBorder="1"/>
    <xf numFmtId="9" fontId="39" fillId="4" borderId="9" xfId="2" applyFont="1" applyFill="1" applyBorder="1"/>
    <xf numFmtId="164" fontId="39" fillId="4" borderId="9" xfId="0" applyNumberFormat="1" applyFont="1" applyFill="1" applyBorder="1"/>
    <xf numFmtId="0" fontId="39" fillId="0" borderId="0" xfId="0" applyFont="1"/>
    <xf numFmtId="0" fontId="48" fillId="0" borderId="0" xfId="0" applyFont="1"/>
    <xf numFmtId="9" fontId="39" fillId="28" borderId="9" xfId="0" applyNumberFormat="1" applyFont="1" applyFill="1" applyBorder="1"/>
    <xf numFmtId="9" fontId="39" fillId="26" borderId="9" xfId="0" applyNumberFormat="1" applyFont="1" applyFill="1" applyBorder="1"/>
    <xf numFmtId="9" fontId="39" fillId="28" borderId="9" xfId="2" applyFont="1" applyFill="1" applyBorder="1"/>
    <xf numFmtId="9" fontId="39" fillId="26" borderId="9" xfId="2" applyFont="1" applyFill="1" applyBorder="1"/>
    <xf numFmtId="0" fontId="39" fillId="23" borderId="7" xfId="0" applyFont="1" applyFill="1" applyBorder="1" applyAlignment="1">
      <alignment horizontal="center"/>
    </xf>
    <xf numFmtId="0" fontId="40" fillId="24" borderId="8" xfId="0" applyFont="1" applyFill="1" applyBorder="1"/>
    <xf numFmtId="0" fontId="7" fillId="17" borderId="30" xfId="0" applyFont="1" applyFill="1" applyBorder="1" applyAlignment="1">
      <alignment horizontal="center" vertical="center" wrapText="1"/>
    </xf>
    <xf numFmtId="0" fontId="6" fillId="18" borderId="30" xfId="0" applyFont="1" applyFill="1" applyBorder="1"/>
    <xf numFmtId="14" fontId="7" fillId="17" borderId="30" xfId="0" applyNumberFormat="1" applyFont="1" applyFill="1" applyBorder="1" applyAlignment="1">
      <alignment horizontal="center" vertical="center" wrapText="1"/>
    </xf>
    <xf numFmtId="0" fontId="5" fillId="0" borderId="1" xfId="0" applyFont="1" applyBorder="1" applyAlignment="1">
      <alignment horizontal="center"/>
    </xf>
    <xf numFmtId="0" fontId="6" fillId="0" borderId="25" xfId="0" applyFont="1" applyBorder="1"/>
    <xf numFmtId="0" fontId="6" fillId="0" borderId="3" xfId="0" applyFont="1" applyBorder="1"/>
    <xf numFmtId="0" fontId="6" fillId="0" borderId="10" xfId="0" applyFont="1" applyBorder="1"/>
    <xf numFmtId="0" fontId="6" fillId="0" borderId="5" xfId="0" applyFont="1" applyBorder="1"/>
    <xf numFmtId="0" fontId="6" fillId="0" borderId="27" xfId="0" applyFont="1" applyBorder="1"/>
    <xf numFmtId="0" fontId="39" fillId="23" borderId="7" xfId="0" applyFont="1" applyFill="1" applyBorder="1" applyAlignment="1">
      <alignment horizontal="center" vertical="center"/>
    </xf>
    <xf numFmtId="0" fontId="40" fillId="24" borderId="8" xfId="0" applyFont="1" applyFill="1" applyBorder="1" applyAlignment="1">
      <alignment horizontal="center" vertical="center"/>
    </xf>
    <xf numFmtId="0" fontId="28" fillId="24" borderId="7" xfId="0" applyFont="1" applyFill="1" applyBorder="1" applyAlignment="1">
      <alignment horizontal="center"/>
    </xf>
    <xf numFmtId="0" fontId="28" fillId="24" borderId="20" xfId="0" applyFont="1" applyFill="1" applyBorder="1" applyAlignment="1">
      <alignment horizontal="center"/>
    </xf>
    <xf numFmtId="0" fontId="39" fillId="24" borderId="7" xfId="0" applyFont="1" applyFill="1" applyBorder="1" applyAlignment="1">
      <alignment horizontal="center"/>
    </xf>
    <xf numFmtId="0" fontId="39" fillId="24" borderId="20" xfId="0" applyFont="1" applyFill="1" applyBorder="1" applyAlignment="1">
      <alignment horizontal="center"/>
    </xf>
    <xf numFmtId="0" fontId="8" fillId="24" borderId="20" xfId="0" applyFont="1" applyFill="1" applyBorder="1" applyAlignment="1">
      <alignment horizontal="center"/>
    </xf>
    <xf numFmtId="0" fontId="11" fillId="6" borderId="1" xfId="0" applyFont="1" applyFill="1" applyBorder="1" applyAlignment="1">
      <alignment horizontal="center" vertical="center" wrapText="1"/>
    </xf>
    <xf numFmtId="0" fontId="6" fillId="0" borderId="2" xfId="0" applyFont="1" applyBorder="1"/>
    <xf numFmtId="0" fontId="6" fillId="0" borderId="6" xfId="0" applyFont="1" applyBorder="1"/>
    <xf numFmtId="0" fontId="11" fillId="11" borderId="7" xfId="0" applyFont="1" applyFill="1" applyBorder="1" applyAlignment="1">
      <alignment horizontal="center" wrapText="1"/>
    </xf>
    <xf numFmtId="0" fontId="6" fillId="0" borderId="8" xfId="0" applyFont="1" applyBorder="1"/>
    <xf numFmtId="0" fontId="11" fillId="0" borderId="3" xfId="0" applyFont="1" applyBorder="1" applyAlignment="1">
      <alignment horizontal="center"/>
    </xf>
    <xf numFmtId="0" fontId="0" fillId="0" borderId="0" xfId="0"/>
    <xf numFmtId="0" fontId="5" fillId="5" borderId="7" xfId="0" applyFont="1" applyFill="1" applyBorder="1" applyAlignment="1">
      <alignment horizontal="center" vertical="center" wrapText="1"/>
    </xf>
    <xf numFmtId="0" fontId="6" fillId="0" borderId="11" xfId="0" applyFont="1" applyBorder="1"/>
    <xf numFmtId="14" fontId="5" fillId="5" borderId="7" xfId="0" applyNumberFormat="1" applyFont="1" applyFill="1" applyBorder="1" applyAlignment="1">
      <alignment horizontal="center" vertical="center" wrapText="1"/>
    </xf>
    <xf numFmtId="0" fontId="11" fillId="7" borderId="1" xfId="0" applyFont="1" applyFill="1" applyBorder="1" applyAlignment="1">
      <alignment horizontal="center" vertical="center" wrapText="1"/>
    </xf>
    <xf numFmtId="0" fontId="6" fillId="0" borderId="4" xfId="0" applyFont="1" applyBorder="1"/>
    <xf numFmtId="0" fontId="44" fillId="5" borderId="7" xfId="0" applyFont="1" applyFill="1" applyBorder="1" applyAlignment="1">
      <alignment horizontal="center" vertical="center" wrapText="1"/>
    </xf>
    <xf numFmtId="0" fontId="29" fillId="13" borderId="24" xfId="0" applyFont="1" applyFill="1" applyBorder="1" applyAlignment="1">
      <alignment horizontal="left" vertical="center"/>
    </xf>
    <xf numFmtId="0" fontId="17" fillId="13" borderId="25" xfId="0" applyFont="1" applyFill="1" applyBorder="1" applyAlignment="1">
      <alignment horizontal="left" vertical="center"/>
    </xf>
    <xf numFmtId="0" fontId="17" fillId="13" borderId="21" xfId="0" applyFont="1" applyFill="1" applyBorder="1" applyAlignment="1">
      <alignment horizontal="left" vertical="center"/>
    </xf>
    <xf numFmtId="0" fontId="17" fillId="13" borderId="26" xfId="0" applyFont="1" applyFill="1" applyBorder="1" applyAlignment="1">
      <alignment horizontal="left" vertical="center"/>
    </xf>
    <xf numFmtId="0" fontId="17" fillId="13" borderId="27" xfId="0" applyFont="1" applyFill="1" applyBorder="1" applyAlignment="1">
      <alignment horizontal="left" vertical="center"/>
    </xf>
    <xf numFmtId="0" fontId="17" fillId="13" borderId="28" xfId="0" applyFont="1" applyFill="1" applyBorder="1" applyAlignment="1">
      <alignment horizontal="left" vertical="center"/>
    </xf>
    <xf numFmtId="0" fontId="21" fillId="15" borderId="7" xfId="0" applyFont="1" applyFill="1" applyBorder="1" applyAlignment="1">
      <alignment horizontal="left" vertical="center"/>
    </xf>
    <xf numFmtId="0" fontId="21" fillId="15" borderId="11" xfId="0" applyFont="1" applyFill="1" applyBorder="1" applyAlignment="1">
      <alignment horizontal="left" vertical="center"/>
    </xf>
    <xf numFmtId="0" fontId="21" fillId="15" borderId="20" xfId="0" applyFont="1" applyFill="1" applyBorder="1" applyAlignment="1">
      <alignment horizontal="left" vertical="center"/>
    </xf>
    <xf numFmtId="169" fontId="21" fillId="16" borderId="7" xfId="0" applyNumberFormat="1" applyFont="1" applyFill="1" applyBorder="1" applyAlignment="1">
      <alignment horizontal="left" vertical="center"/>
    </xf>
    <xf numFmtId="169" fontId="21" fillId="16" borderId="11" xfId="0" applyNumberFormat="1" applyFont="1" applyFill="1" applyBorder="1" applyAlignment="1">
      <alignment horizontal="left" vertical="center"/>
    </xf>
    <xf numFmtId="169" fontId="21" fillId="16" borderId="20" xfId="0" applyNumberFormat="1" applyFont="1" applyFill="1" applyBorder="1" applyAlignment="1">
      <alignment horizontal="left" vertical="center"/>
    </xf>
    <xf numFmtId="0" fontId="21" fillId="16" borderId="7" xfId="0" applyFont="1" applyFill="1" applyBorder="1" applyAlignment="1">
      <alignment horizontal="left" vertical="center"/>
    </xf>
    <xf numFmtId="0" fontId="21" fillId="16" borderId="11" xfId="0" applyFont="1" applyFill="1" applyBorder="1" applyAlignment="1">
      <alignment horizontal="left" vertical="center"/>
    </xf>
    <xf numFmtId="0" fontId="21" fillId="16" borderId="20" xfId="0" applyFont="1" applyFill="1" applyBorder="1" applyAlignment="1">
      <alignment horizontal="left" vertical="center"/>
    </xf>
    <xf numFmtId="3" fontId="29" fillId="12" borderId="13" xfId="0" applyNumberFormat="1" applyFont="1" applyFill="1" applyBorder="1" applyAlignment="1">
      <alignment horizontal="center" vertical="center" wrapText="1"/>
    </xf>
    <xf numFmtId="3" fontId="29" fillId="12" borderId="14" xfId="0" applyNumberFormat="1" applyFont="1" applyFill="1" applyBorder="1" applyAlignment="1">
      <alignment horizontal="center" vertical="center" wrapText="1"/>
    </xf>
    <xf numFmtId="3" fontId="29" fillId="12" borderId="15" xfId="0" applyNumberFormat="1" applyFont="1" applyFill="1" applyBorder="1" applyAlignment="1">
      <alignment horizontal="center" vertical="center" wrapText="1"/>
    </xf>
    <xf numFmtId="0" fontId="29" fillId="13" borderId="24" xfId="0" applyFont="1" applyFill="1" applyBorder="1" applyAlignment="1">
      <alignment horizontal="center" vertical="center"/>
    </xf>
    <xf numFmtId="0" fontId="29" fillId="13" borderId="25" xfId="0" applyFont="1" applyFill="1" applyBorder="1" applyAlignment="1">
      <alignment horizontal="center" vertical="center"/>
    </xf>
    <xf numFmtId="0" fontId="29" fillId="13" borderId="21" xfId="0" applyFont="1" applyFill="1" applyBorder="1" applyAlignment="1">
      <alignment horizontal="center" vertical="center"/>
    </xf>
    <xf numFmtId="0" fontId="29" fillId="13" borderId="26" xfId="0" applyFont="1" applyFill="1" applyBorder="1" applyAlignment="1">
      <alignment horizontal="center" vertical="center"/>
    </xf>
    <xf numFmtId="0" fontId="29" fillId="13" borderId="27" xfId="0" applyFont="1" applyFill="1" applyBorder="1" applyAlignment="1">
      <alignment horizontal="center" vertical="center"/>
    </xf>
    <xf numFmtId="0" fontId="29" fillId="13" borderId="28" xfId="0" applyFont="1" applyFill="1" applyBorder="1" applyAlignment="1">
      <alignment horizontal="center" vertical="center"/>
    </xf>
    <xf numFmtId="0" fontId="46" fillId="2" borderId="16" xfId="0" applyFont="1" applyFill="1" applyBorder="1" applyAlignment="1">
      <alignment horizontal="center" vertical="center"/>
    </xf>
    <xf numFmtId="0" fontId="6" fillId="0" borderId="17" xfId="0" applyFont="1" applyBorder="1"/>
    <xf numFmtId="0" fontId="6" fillId="0" borderId="18" xfId="0" applyFont="1" applyBorder="1"/>
    <xf numFmtId="0" fontId="6" fillId="0" borderId="14" xfId="0" applyFont="1" applyBorder="1"/>
    <xf numFmtId="0" fontId="6" fillId="0" borderId="15" xfId="0" applyFont="1" applyBorder="1"/>
    <xf numFmtId="0" fontId="29" fillId="13" borderId="1" xfId="0" applyFont="1" applyFill="1" applyBorder="1" applyAlignment="1">
      <alignment horizontal="center" vertical="center"/>
    </xf>
    <xf numFmtId="0" fontId="6" fillId="0" borderId="19" xfId="0" applyFont="1" applyBorder="1" applyAlignment="1">
      <alignment horizontal="center"/>
    </xf>
    <xf numFmtId="0" fontId="6" fillId="0" borderId="2" xfId="0" applyFont="1" applyBorder="1" applyAlignment="1">
      <alignment horizontal="center"/>
    </xf>
    <xf numFmtId="0" fontId="6" fillId="0" borderId="5" xfId="0" applyFont="1" applyBorder="1" applyAlignment="1">
      <alignment horizontal="center"/>
    </xf>
    <xf numFmtId="0" fontId="6" fillId="0" borderId="22" xfId="0" applyFont="1" applyBorder="1" applyAlignment="1">
      <alignment horizontal="center"/>
    </xf>
    <xf numFmtId="0" fontId="6" fillId="0" borderId="6" xfId="0" applyFont="1" applyBorder="1" applyAlignment="1">
      <alignment horizontal="center"/>
    </xf>
    <xf numFmtId="0" fontId="17" fillId="13" borderId="25" xfId="0" applyFont="1" applyFill="1" applyBorder="1" applyAlignment="1">
      <alignment horizontal="center" vertical="center"/>
    </xf>
    <xf numFmtId="0" fontId="17" fillId="13" borderId="21" xfId="0" applyFont="1" applyFill="1" applyBorder="1" applyAlignment="1">
      <alignment horizontal="center" vertical="center"/>
    </xf>
    <xf numFmtId="0" fontId="17" fillId="13" borderId="26" xfId="0" applyFont="1" applyFill="1" applyBorder="1" applyAlignment="1">
      <alignment horizontal="center" vertical="center"/>
    </xf>
    <xf numFmtId="0" fontId="17" fillId="13" borderId="27" xfId="0" applyFont="1" applyFill="1" applyBorder="1" applyAlignment="1">
      <alignment horizontal="center" vertical="center"/>
    </xf>
    <xf numFmtId="0" fontId="17" fillId="13" borderId="28" xfId="0" applyFont="1" applyFill="1" applyBorder="1" applyAlignment="1">
      <alignment horizontal="center" vertical="center"/>
    </xf>
    <xf numFmtId="0" fontId="35" fillId="0" borderId="30" xfId="3" applyFont="1" applyFill="1" applyBorder="1" applyAlignment="1">
      <alignment horizontal="center" vertical="center"/>
    </xf>
    <xf numFmtId="0" fontId="34" fillId="0" borderId="30" xfId="3" applyFill="1" applyBorder="1" applyAlignment="1">
      <alignment horizontal="center" vertical="center"/>
    </xf>
    <xf numFmtId="0" fontId="34" fillId="13" borderId="1" xfId="3" quotePrefix="1" applyFill="1" applyBorder="1" applyAlignment="1">
      <alignment horizontal="left" vertical="center"/>
    </xf>
    <xf numFmtId="0" fontId="34" fillId="0" borderId="19" xfId="3" applyBorder="1"/>
    <xf numFmtId="0" fontId="34" fillId="0" borderId="2" xfId="3" applyBorder="1"/>
    <xf numFmtId="0" fontId="34" fillId="0" borderId="5" xfId="3" applyBorder="1"/>
    <xf numFmtId="0" fontId="34" fillId="0" borderId="22" xfId="3" applyBorder="1"/>
    <xf numFmtId="0" fontId="34" fillId="0" borderId="6" xfId="3" applyBorder="1"/>
    <xf numFmtId="0" fontId="34" fillId="13" borderId="1" xfId="3" applyFill="1" applyBorder="1" applyAlignment="1">
      <alignment horizontal="left" vertical="center"/>
    </xf>
    <xf numFmtId="0" fontId="29" fillId="13" borderId="1" xfId="0" applyFont="1" applyFill="1" applyBorder="1" applyAlignment="1">
      <alignment horizontal="left" vertical="center"/>
    </xf>
    <xf numFmtId="0" fontId="6" fillId="0" borderId="19" xfId="0" applyFont="1" applyBorder="1"/>
    <xf numFmtId="0" fontId="6" fillId="0" borderId="22" xfId="0" applyFont="1" applyBorder="1"/>
    <xf numFmtId="0" fontId="17" fillId="13" borderId="1" xfId="0" applyFont="1" applyFill="1" applyBorder="1" applyAlignment="1">
      <alignment horizontal="left" vertical="center"/>
    </xf>
    <xf numFmtId="169" fontId="21" fillId="15" borderId="7" xfId="0" applyNumberFormat="1" applyFont="1" applyFill="1" applyBorder="1" applyAlignment="1">
      <alignment horizontal="left" vertical="center"/>
    </xf>
    <xf numFmtId="169" fontId="21" fillId="15" borderId="11" xfId="0" applyNumberFormat="1" applyFont="1" applyFill="1" applyBorder="1" applyAlignment="1">
      <alignment horizontal="left" vertical="center"/>
    </xf>
    <xf numFmtId="169" fontId="21" fillId="15" borderId="20" xfId="0" applyNumberFormat="1" applyFont="1" applyFill="1" applyBorder="1" applyAlignment="1">
      <alignment horizontal="left" vertical="center"/>
    </xf>
    <xf numFmtId="169" fontId="21" fillId="16" borderId="7" xfId="0" applyNumberFormat="1" applyFont="1" applyFill="1" applyBorder="1" applyAlignment="1">
      <alignment horizontal="center" vertical="center"/>
    </xf>
    <xf numFmtId="169" fontId="21" fillId="16" borderId="11" xfId="0" applyNumberFormat="1" applyFont="1" applyFill="1" applyBorder="1" applyAlignment="1">
      <alignment horizontal="center" vertical="center"/>
    </xf>
    <xf numFmtId="169" fontId="21" fillId="16" borderId="20" xfId="0" applyNumberFormat="1" applyFont="1" applyFill="1" applyBorder="1" applyAlignment="1">
      <alignment horizontal="center" vertical="center"/>
    </xf>
    <xf numFmtId="0" fontId="29" fillId="13" borderId="25" xfId="0" applyFont="1" applyFill="1" applyBorder="1" applyAlignment="1">
      <alignment horizontal="left" vertical="center"/>
    </xf>
    <xf numFmtId="0" fontId="29" fillId="13" borderId="21" xfId="0" applyFont="1" applyFill="1" applyBorder="1" applyAlignment="1">
      <alignment horizontal="left" vertical="center"/>
    </xf>
    <xf numFmtId="0" fontId="29" fillId="13" borderId="26" xfId="0" applyFont="1" applyFill="1" applyBorder="1" applyAlignment="1">
      <alignment horizontal="left" vertical="center"/>
    </xf>
    <xf numFmtId="0" fontId="29" fillId="13" borderId="27" xfId="0" applyFont="1" applyFill="1" applyBorder="1" applyAlignment="1">
      <alignment horizontal="left" vertical="center"/>
    </xf>
    <xf numFmtId="0" fontId="29" fillId="13" borderId="28" xfId="0" applyFont="1" applyFill="1" applyBorder="1" applyAlignment="1">
      <alignment horizontal="left" vertical="center"/>
    </xf>
    <xf numFmtId="0" fontId="18" fillId="2" borderId="32" xfId="0" applyFont="1" applyFill="1" applyBorder="1" applyAlignment="1">
      <alignment horizontal="center" vertical="center"/>
    </xf>
    <xf numFmtId="0" fontId="18" fillId="2" borderId="33" xfId="0" applyFont="1" applyFill="1" applyBorder="1" applyAlignment="1">
      <alignment horizontal="center" vertical="center"/>
    </xf>
    <xf numFmtId="0" fontId="18" fillId="2" borderId="34" xfId="0" applyFont="1" applyFill="1" applyBorder="1" applyAlignment="1">
      <alignment horizontal="center" vertical="center"/>
    </xf>
    <xf numFmtId="172" fontId="21" fillId="15" borderId="7" xfId="0" applyNumberFormat="1" applyFont="1" applyFill="1" applyBorder="1" applyAlignment="1">
      <alignment horizontal="left" vertical="center"/>
    </xf>
    <xf numFmtId="172" fontId="6" fillId="0" borderId="11" xfId="0" applyNumberFormat="1" applyFont="1" applyBorder="1"/>
    <xf numFmtId="172" fontId="6" fillId="0" borderId="8" xfId="0" applyNumberFormat="1" applyFont="1" applyBorder="1"/>
    <xf numFmtId="0" fontId="15" fillId="12" borderId="7" xfId="0" applyFont="1" applyFill="1" applyBorder="1" applyAlignment="1">
      <alignment horizontal="center"/>
    </xf>
    <xf numFmtId="0" fontId="11" fillId="0" borderId="1" xfId="0" applyFont="1" applyBorder="1" applyAlignment="1">
      <alignment horizontal="left" vertical="top" wrapText="1"/>
    </xf>
    <xf numFmtId="0" fontId="6" fillId="0" borderId="23" xfId="0" applyFont="1" applyBorder="1"/>
    <xf numFmtId="0" fontId="32" fillId="19" borderId="30" xfId="0" applyFont="1" applyFill="1" applyBorder="1" applyAlignment="1">
      <alignment horizontal="center" vertical="center"/>
    </xf>
    <xf numFmtId="0" fontId="3" fillId="0" borderId="30" xfId="0" applyFont="1" applyBorder="1" applyAlignment="1">
      <alignment horizontal="center"/>
    </xf>
    <xf numFmtId="0" fontId="4" fillId="0" borderId="30" xfId="0" applyFont="1" applyBorder="1" applyAlignment="1">
      <alignment horizontal="center"/>
    </xf>
    <xf numFmtId="0" fontId="33" fillId="20" borderId="30" xfId="0" applyFont="1" applyFill="1" applyBorder="1" applyAlignment="1">
      <alignment horizontal="center" vertical="center"/>
    </xf>
    <xf numFmtId="0" fontId="35" fillId="22" borderId="24" xfId="3" applyFont="1" applyFill="1" applyBorder="1" applyAlignment="1">
      <alignment horizontal="center"/>
    </xf>
    <xf numFmtId="0" fontId="34" fillId="20" borderId="25" xfId="3" applyFill="1" applyBorder="1"/>
    <xf numFmtId="0" fontId="34" fillId="20" borderId="21" xfId="3" applyFill="1" applyBorder="1"/>
    <xf numFmtId="0" fontId="27" fillId="0" borderId="30" xfId="0" applyFont="1" applyBorder="1" applyAlignment="1">
      <alignment horizontal="left" vertical="top" wrapText="1"/>
    </xf>
    <xf numFmtId="0" fontId="11" fillId="0" borderId="30" xfId="0" applyFont="1" applyBorder="1" applyAlignment="1">
      <alignment horizontal="left" vertical="top" wrapText="1"/>
    </xf>
    <xf numFmtId="0" fontId="34" fillId="20" borderId="10" xfId="3" applyFill="1" applyBorder="1" applyAlignment="1">
      <alignment horizontal="center" vertical="center"/>
    </xf>
    <xf numFmtId="0" fontId="35" fillId="20" borderId="10" xfId="3" applyFont="1" applyFill="1" applyBorder="1" applyAlignment="1">
      <alignment horizontal="center" vertical="center"/>
    </xf>
    <xf numFmtId="0" fontId="17" fillId="0" borderId="9" xfId="0" applyFont="1" applyBorder="1" applyAlignment="1">
      <alignment horizontal="center" vertical="center"/>
    </xf>
    <xf numFmtId="10" fontId="0" fillId="26" borderId="30" xfId="2" applyNumberFormat="1" applyFont="1" applyFill="1" applyBorder="1" applyAlignment="1">
      <alignment horizontal="center" vertical="center"/>
    </xf>
    <xf numFmtId="0" fontId="1" fillId="0" borderId="30" xfId="0" applyFont="1" applyBorder="1" applyAlignment="1">
      <alignment horizontal="center" vertical="center"/>
    </xf>
    <xf numFmtId="169" fontId="30" fillId="26" borderId="9" xfId="0" applyNumberFormat="1" applyFont="1" applyFill="1" applyBorder="1" applyAlignment="1">
      <alignment horizontal="left"/>
    </xf>
    <xf numFmtId="169" fontId="30" fillId="27" borderId="9" xfId="0" applyNumberFormat="1" applyFont="1" applyFill="1" applyBorder="1" applyAlignment="1">
      <alignment horizontal="center" vertical="center"/>
    </xf>
    <xf numFmtId="3" fontId="21" fillId="27" borderId="9" xfId="0" applyNumberFormat="1" applyFont="1" applyFill="1" applyBorder="1" applyAlignment="1">
      <alignment horizontal="center" vertical="center"/>
    </xf>
    <xf numFmtId="172" fontId="21" fillId="27" borderId="9" xfId="1" applyNumberFormat="1" applyFont="1" applyFill="1" applyBorder="1" applyAlignment="1">
      <alignment horizontal="center" vertical="center" wrapText="1"/>
    </xf>
    <xf numFmtId="172" fontId="21" fillId="27" borderId="9" xfId="1" applyNumberFormat="1" applyFont="1" applyFill="1" applyBorder="1" applyAlignment="1">
      <alignment vertical="center"/>
    </xf>
    <xf numFmtId="169" fontId="30" fillId="29" borderId="9" xfId="0" applyNumberFormat="1" applyFont="1" applyFill="1" applyBorder="1" applyAlignment="1">
      <alignment horizontal="left"/>
    </xf>
    <xf numFmtId="169" fontId="30" fillId="30" borderId="9" xfId="0" applyNumberFormat="1" applyFont="1" applyFill="1" applyBorder="1" applyAlignment="1">
      <alignment horizontal="center" vertical="center"/>
    </xf>
    <xf numFmtId="3" fontId="21" fillId="30" borderId="9" xfId="0" applyNumberFormat="1" applyFont="1" applyFill="1" applyBorder="1" applyAlignment="1">
      <alignment horizontal="center" vertical="center"/>
    </xf>
    <xf numFmtId="172" fontId="21" fillId="30" borderId="9" xfId="1" applyNumberFormat="1" applyFont="1" applyFill="1" applyBorder="1" applyAlignment="1">
      <alignment horizontal="center" vertical="center" wrapText="1"/>
    </xf>
    <xf numFmtId="172" fontId="21" fillId="30" borderId="9" xfId="1" applyNumberFormat="1" applyFont="1" applyFill="1" applyBorder="1" applyAlignment="1">
      <alignment vertical="center"/>
    </xf>
  </cellXfs>
  <cellStyles count="4">
    <cellStyle name="Hipervínculo" xfId="3" builtinId="8"/>
    <cellStyle name="Moneda" xfId="1"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285750</xdr:colOff>
      <xdr:row>0</xdr:row>
      <xdr:rowOff>133350</xdr:rowOff>
    </xdr:from>
    <xdr:ext cx="2181225" cy="5619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790575" y="133350"/>
          <a:ext cx="2181225" cy="5619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257175</xdr:colOff>
      <xdr:row>0</xdr:row>
      <xdr:rowOff>123825</xdr:rowOff>
    </xdr:from>
    <xdr:ext cx="2181225" cy="5905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Z989"/>
  <sheetViews>
    <sheetView topLeftCell="A24" workbookViewId="0">
      <selection activeCell="F29" sqref="F29"/>
    </sheetView>
  </sheetViews>
  <sheetFormatPr baseColWidth="10" defaultColWidth="14.42578125" defaultRowHeight="15" customHeight="1" x14ac:dyDescent="0.25"/>
  <cols>
    <col min="1" max="1" width="7.5703125" customWidth="1"/>
    <col min="2" max="2" width="42.5703125" style="103" customWidth="1"/>
    <col min="3" max="3" width="9.7109375" bestFit="1" customWidth="1"/>
    <col min="4" max="4" width="19" customWidth="1"/>
    <col min="5" max="5" width="12.5703125" style="201" customWidth="1"/>
    <col min="6" max="6" width="11.42578125" customWidth="1"/>
    <col min="7" max="26" width="10.7109375" customWidth="1"/>
  </cols>
  <sheetData>
    <row r="1" spans="1:26" ht="15" customHeight="1" x14ac:dyDescent="0.25">
      <c r="A1" s="211"/>
      <c r="B1" s="212"/>
      <c r="C1" s="208" t="s">
        <v>0</v>
      </c>
      <c r="D1" s="209"/>
      <c r="E1" s="209"/>
      <c r="F1" s="1"/>
      <c r="G1" s="1"/>
      <c r="H1" s="1"/>
      <c r="I1" s="1"/>
      <c r="J1" s="1"/>
      <c r="K1" s="1"/>
      <c r="L1" s="1"/>
      <c r="M1" s="1"/>
      <c r="N1" s="1"/>
      <c r="O1" s="1"/>
      <c r="P1" s="1"/>
      <c r="Q1" s="1"/>
      <c r="R1" s="1"/>
      <c r="S1" s="1"/>
      <c r="T1" s="1"/>
      <c r="U1" s="1"/>
      <c r="V1" s="1"/>
      <c r="W1" s="1"/>
      <c r="X1" s="1"/>
      <c r="Y1" s="1"/>
      <c r="Z1" s="1"/>
    </row>
    <row r="2" spans="1:26" ht="15" customHeight="1" x14ac:dyDescent="0.25">
      <c r="A2" s="213"/>
      <c r="B2" s="214"/>
      <c r="C2" s="208" t="s">
        <v>1</v>
      </c>
      <c r="D2" s="209"/>
      <c r="E2" s="209"/>
      <c r="F2" s="1"/>
      <c r="G2" s="1"/>
      <c r="H2" s="1"/>
      <c r="I2" s="1"/>
      <c r="J2" s="1"/>
      <c r="K2" s="1"/>
      <c r="L2" s="1"/>
      <c r="M2" s="1"/>
      <c r="N2" s="1"/>
      <c r="O2" s="1"/>
      <c r="P2" s="1"/>
      <c r="Q2" s="1"/>
      <c r="R2" s="1"/>
      <c r="S2" s="1"/>
      <c r="T2" s="1"/>
      <c r="U2" s="1"/>
      <c r="V2" s="1"/>
      <c r="W2" s="1"/>
      <c r="X2" s="1"/>
      <c r="Y2" s="1"/>
      <c r="Z2" s="1"/>
    </row>
    <row r="3" spans="1:26" ht="15" customHeight="1" x14ac:dyDescent="0.25">
      <c r="A3" s="213"/>
      <c r="B3" s="214"/>
      <c r="C3" s="210">
        <v>44802</v>
      </c>
      <c r="D3" s="209"/>
      <c r="E3" s="209"/>
      <c r="F3" s="1"/>
      <c r="G3" s="1"/>
      <c r="H3" s="1"/>
      <c r="I3" s="1"/>
      <c r="J3" s="1"/>
      <c r="K3" s="1"/>
      <c r="L3" s="1"/>
      <c r="M3" s="1"/>
      <c r="N3" s="1"/>
      <c r="O3" s="1"/>
      <c r="P3" s="1"/>
      <c r="Q3" s="1"/>
      <c r="R3" s="1"/>
      <c r="S3" s="1"/>
      <c r="T3" s="1"/>
      <c r="U3" s="1"/>
      <c r="V3" s="1"/>
      <c r="W3" s="1"/>
      <c r="X3" s="1"/>
      <c r="Y3" s="1"/>
      <c r="Z3" s="1"/>
    </row>
    <row r="4" spans="1:26" ht="15" customHeight="1" x14ac:dyDescent="0.25">
      <c r="A4" s="215"/>
      <c r="B4" s="216"/>
      <c r="C4" s="208" t="s">
        <v>93</v>
      </c>
      <c r="D4" s="209"/>
      <c r="E4" s="209"/>
      <c r="F4" s="1"/>
      <c r="G4" s="1"/>
      <c r="H4" s="1"/>
      <c r="I4" s="1"/>
      <c r="J4" s="1"/>
      <c r="K4" s="1"/>
      <c r="L4" s="1"/>
      <c r="M4" s="1"/>
      <c r="N4" s="1"/>
      <c r="O4" s="1"/>
      <c r="P4" s="1"/>
      <c r="Q4" s="1"/>
      <c r="R4" s="1"/>
      <c r="S4" s="1"/>
      <c r="T4" s="1"/>
      <c r="U4" s="1"/>
      <c r="V4" s="1"/>
      <c r="W4" s="1"/>
      <c r="X4" s="1"/>
      <c r="Y4" s="1"/>
      <c r="Z4" s="1"/>
    </row>
    <row r="5" spans="1:26" ht="12.75" customHeight="1" x14ac:dyDescent="0.25">
      <c r="A5" s="206" t="s">
        <v>94</v>
      </c>
      <c r="B5" s="207"/>
      <c r="C5" s="68" t="s">
        <v>2</v>
      </c>
      <c r="D5" s="69" t="s">
        <v>5</v>
      </c>
      <c r="E5" s="195" t="s">
        <v>4</v>
      </c>
      <c r="F5" s="1"/>
      <c r="G5" s="1"/>
      <c r="H5" s="1"/>
      <c r="I5" s="1"/>
      <c r="J5" s="1"/>
      <c r="K5" s="1"/>
      <c r="L5" s="1"/>
      <c r="M5" s="1"/>
      <c r="N5" s="1"/>
      <c r="O5" s="1"/>
      <c r="P5" s="1"/>
      <c r="Q5" s="1"/>
      <c r="R5" s="1"/>
      <c r="S5" s="1"/>
      <c r="T5" s="1"/>
      <c r="U5" s="1"/>
      <c r="V5" s="1"/>
      <c r="W5" s="1"/>
      <c r="X5" s="1"/>
      <c r="Y5" s="1"/>
      <c r="Z5" s="1"/>
    </row>
    <row r="6" spans="1:26" ht="12.75" customHeight="1" x14ac:dyDescent="0.25">
      <c r="A6" s="3">
        <v>1</v>
      </c>
      <c r="B6" s="98" t="str">
        <f>+'ESTANDAR CAMPO'!A1</f>
        <v>CAMPESINO</v>
      </c>
      <c r="C6" s="4">
        <f>+'ESTANDAR CAMPO'!F14</f>
        <v>10492.311333333333</v>
      </c>
      <c r="D6" s="5">
        <v>33000</v>
      </c>
      <c r="E6" s="202">
        <f>+C6/D6</f>
        <v>0.31794882828282828</v>
      </c>
      <c r="F6" s="1"/>
      <c r="G6" s="1"/>
      <c r="H6" s="1"/>
      <c r="I6" s="1"/>
      <c r="J6" s="1"/>
      <c r="K6" s="1"/>
      <c r="L6" s="1"/>
      <c r="M6" s="1"/>
      <c r="N6" s="1"/>
      <c r="O6" s="1"/>
      <c r="P6" s="1"/>
      <c r="Q6" s="1"/>
      <c r="R6" s="1"/>
      <c r="S6" s="1"/>
      <c r="T6" s="1"/>
      <c r="U6" s="1"/>
      <c r="V6" s="1"/>
      <c r="W6" s="1"/>
      <c r="X6" s="1"/>
      <c r="Y6" s="1"/>
      <c r="Z6" s="1"/>
    </row>
    <row r="7" spans="1:26" ht="12.75" customHeight="1" x14ac:dyDescent="0.25">
      <c r="A7" s="3">
        <f>1+A6</f>
        <v>2</v>
      </c>
      <c r="B7" s="99" t="s">
        <v>96</v>
      </c>
      <c r="C7" s="4">
        <f>+'ESTANDAR CAMPO'!F40</f>
        <v>5599.4441666666662</v>
      </c>
      <c r="D7" s="5">
        <v>24000</v>
      </c>
      <c r="E7" s="202">
        <f t="shared" ref="E7:E10" si="0">+C7/D7</f>
        <v>0.23331017361111109</v>
      </c>
      <c r="F7" s="1"/>
      <c r="G7" s="1"/>
      <c r="H7" s="1"/>
      <c r="I7" s="1"/>
      <c r="J7" s="1"/>
      <c r="K7" s="1"/>
      <c r="L7" s="1"/>
      <c r="M7" s="1"/>
      <c r="N7" s="1"/>
      <c r="O7" s="1"/>
      <c r="P7" s="1"/>
      <c r="Q7" s="1"/>
      <c r="R7" s="1"/>
      <c r="S7" s="1"/>
      <c r="T7" s="1"/>
      <c r="U7" s="1"/>
      <c r="V7" s="1"/>
      <c r="W7" s="1"/>
      <c r="X7" s="1"/>
      <c r="Y7" s="1"/>
      <c r="Z7" s="1"/>
    </row>
    <row r="8" spans="1:26" ht="12.75" customHeight="1" x14ac:dyDescent="0.25">
      <c r="A8" s="3">
        <f t="shared" ref="A8:A15" si="1">1+A7</f>
        <v>3</v>
      </c>
      <c r="B8" s="100" t="s">
        <v>97</v>
      </c>
      <c r="C8" s="4">
        <f>+'ESTANDAR CAMPO'!F66</f>
        <v>10381.881666666666</v>
      </c>
      <c r="D8" s="5">
        <v>24000</v>
      </c>
      <c r="E8" s="203">
        <f t="shared" si="0"/>
        <v>0.43257840277777776</v>
      </c>
      <c r="F8" s="1"/>
      <c r="G8" s="1"/>
      <c r="H8" s="1"/>
      <c r="I8" s="1"/>
      <c r="J8" s="1"/>
      <c r="K8" s="1"/>
      <c r="L8" s="1"/>
      <c r="M8" s="1"/>
      <c r="N8" s="1"/>
      <c r="O8" s="1"/>
      <c r="P8" s="1"/>
      <c r="Q8" s="1"/>
      <c r="R8" s="1"/>
      <c r="S8" s="1"/>
      <c r="T8" s="1"/>
      <c r="U8" s="1"/>
      <c r="V8" s="1"/>
      <c r="W8" s="1"/>
      <c r="X8" s="1"/>
      <c r="Y8" s="1"/>
      <c r="Z8" s="1"/>
    </row>
    <row r="9" spans="1:26" ht="12.75" customHeight="1" x14ac:dyDescent="0.25">
      <c r="A9" s="3">
        <f t="shared" si="1"/>
        <v>4</v>
      </c>
      <c r="B9" s="99" t="s">
        <v>98</v>
      </c>
      <c r="C9" s="4">
        <f>+'ESTANDAR CAMPO'!F92</f>
        <v>6606.1866666666665</v>
      </c>
      <c r="D9" s="5">
        <v>25000</v>
      </c>
      <c r="E9" s="202">
        <f t="shared" si="0"/>
        <v>0.26424746666666665</v>
      </c>
      <c r="F9" s="1"/>
      <c r="G9" s="1"/>
      <c r="H9" s="1"/>
      <c r="I9" s="1"/>
      <c r="J9" s="1"/>
      <c r="K9" s="1"/>
      <c r="L9" s="1"/>
      <c r="M9" s="1"/>
      <c r="N9" s="1"/>
      <c r="O9" s="1"/>
      <c r="P9" s="1"/>
      <c r="Q9" s="1"/>
      <c r="R9" s="1"/>
      <c r="S9" s="1"/>
      <c r="T9" s="1"/>
      <c r="U9" s="1"/>
      <c r="V9" s="1"/>
      <c r="W9" s="1"/>
      <c r="X9" s="1"/>
      <c r="Y9" s="1"/>
      <c r="Z9" s="1"/>
    </row>
    <row r="10" spans="1:26" ht="12.75" customHeight="1" x14ac:dyDescent="0.25">
      <c r="A10" s="3">
        <f t="shared" si="1"/>
        <v>5</v>
      </c>
      <c r="B10" s="101" t="s">
        <v>99</v>
      </c>
      <c r="C10" s="4">
        <f>+'ESTANDAR CAMPO'!F92</f>
        <v>6606.1866666666665</v>
      </c>
      <c r="D10" s="5">
        <v>28000</v>
      </c>
      <c r="E10" s="202">
        <f t="shared" si="0"/>
        <v>0.23593523809523809</v>
      </c>
      <c r="F10" s="1"/>
      <c r="G10" s="1"/>
      <c r="H10" s="1"/>
      <c r="I10" s="1"/>
      <c r="J10" s="1"/>
      <c r="K10" s="1"/>
      <c r="L10" s="1"/>
      <c r="M10" s="1"/>
      <c r="N10" s="1"/>
      <c r="O10" s="1"/>
      <c r="P10" s="1"/>
      <c r="Q10" s="1"/>
      <c r="R10" s="1"/>
      <c r="S10" s="1"/>
      <c r="T10" s="1"/>
      <c r="U10" s="1"/>
      <c r="V10" s="1"/>
      <c r="W10" s="1"/>
      <c r="X10" s="1"/>
      <c r="Y10" s="1"/>
      <c r="Z10" s="1"/>
    </row>
    <row r="11" spans="1:26" ht="12.75" customHeight="1" x14ac:dyDescent="0.25">
      <c r="A11" s="3"/>
      <c r="B11" s="101"/>
      <c r="C11" s="4"/>
      <c r="D11" s="5"/>
      <c r="E11" s="196"/>
      <c r="F11" s="1"/>
      <c r="G11" s="1"/>
      <c r="H11" s="1"/>
      <c r="I11" s="1"/>
      <c r="J11" s="1"/>
      <c r="K11" s="1"/>
      <c r="L11" s="1"/>
      <c r="M11" s="1"/>
      <c r="N11" s="1"/>
      <c r="O11" s="1"/>
      <c r="P11" s="1"/>
      <c r="Q11" s="1"/>
      <c r="R11" s="1"/>
      <c r="S11" s="1"/>
      <c r="T11" s="1"/>
      <c r="U11" s="1"/>
      <c r="V11" s="1"/>
      <c r="W11" s="1"/>
      <c r="X11" s="1"/>
      <c r="Y11" s="1"/>
      <c r="Z11" s="1"/>
    </row>
    <row r="12" spans="1:26" ht="12.75" customHeight="1" x14ac:dyDescent="0.25">
      <c r="A12" s="221" t="s">
        <v>100</v>
      </c>
      <c r="B12" s="222"/>
      <c r="C12" s="68" t="s">
        <v>2</v>
      </c>
      <c r="D12" s="69" t="s">
        <v>3</v>
      </c>
      <c r="E12" s="195" t="s">
        <v>4</v>
      </c>
      <c r="F12" s="1"/>
      <c r="G12" s="1"/>
      <c r="H12" s="1"/>
      <c r="I12" s="1"/>
      <c r="J12" s="1"/>
      <c r="K12" s="1"/>
      <c r="L12" s="1"/>
      <c r="M12" s="1"/>
      <c r="N12" s="1"/>
      <c r="O12" s="1"/>
      <c r="P12" s="1"/>
      <c r="Q12" s="1"/>
      <c r="R12" s="1"/>
      <c r="S12" s="1"/>
      <c r="T12" s="1"/>
      <c r="U12" s="1"/>
      <c r="V12" s="1"/>
      <c r="W12" s="1"/>
      <c r="X12" s="1"/>
      <c r="Y12" s="1"/>
      <c r="Z12" s="1"/>
    </row>
    <row r="13" spans="1:26" ht="12.75" customHeight="1" x14ac:dyDescent="0.25">
      <c r="A13" s="3">
        <v>6</v>
      </c>
      <c r="B13" s="100" t="s">
        <v>101</v>
      </c>
      <c r="C13" s="4">
        <f>+'ESTANDAR SALUDABLE'!F11</f>
        <v>8428.4</v>
      </c>
      <c r="D13" s="5">
        <v>20000</v>
      </c>
      <c r="E13" s="203">
        <f t="shared" ref="E13:E15" si="2">+C13/D13</f>
        <v>0.42141999999999996</v>
      </c>
      <c r="F13" s="1"/>
      <c r="G13" s="1"/>
      <c r="H13" s="1"/>
      <c r="I13" s="1"/>
      <c r="J13" s="1"/>
      <c r="K13" s="1"/>
      <c r="L13" s="1"/>
      <c r="M13" s="1"/>
      <c r="N13" s="1"/>
      <c r="O13" s="1"/>
      <c r="P13" s="1"/>
      <c r="Q13" s="1"/>
      <c r="R13" s="1"/>
      <c r="S13" s="1"/>
      <c r="T13" s="1"/>
      <c r="U13" s="1"/>
      <c r="V13" s="1"/>
      <c r="W13" s="1"/>
      <c r="X13" s="1"/>
      <c r="Y13" s="1"/>
      <c r="Z13" s="1"/>
    </row>
    <row r="14" spans="1:26" ht="12.75" customHeight="1" x14ac:dyDescent="0.25">
      <c r="A14" s="3">
        <f t="shared" si="1"/>
        <v>7</v>
      </c>
      <c r="B14" s="100" t="s">
        <v>102</v>
      </c>
      <c r="C14" s="4">
        <f>+'ESTANDAR SALUDABLE'!F34</f>
        <v>12612.754999999999</v>
      </c>
      <c r="D14" s="5">
        <v>20000</v>
      </c>
      <c r="E14" s="203">
        <f t="shared" si="2"/>
        <v>0.63063775</v>
      </c>
      <c r="F14" s="1"/>
      <c r="G14" s="1"/>
      <c r="H14" s="1"/>
      <c r="I14" s="1"/>
      <c r="J14" s="1"/>
      <c r="K14" s="1"/>
      <c r="L14" s="1"/>
      <c r="M14" s="1"/>
      <c r="N14" s="1"/>
      <c r="O14" s="1"/>
      <c r="P14" s="1"/>
      <c r="Q14" s="1"/>
      <c r="R14" s="1"/>
      <c r="S14" s="1"/>
      <c r="T14" s="1"/>
      <c r="U14" s="1"/>
      <c r="V14" s="1"/>
      <c r="W14" s="1"/>
      <c r="X14" s="1"/>
      <c r="Y14" s="1"/>
      <c r="Z14" s="1"/>
    </row>
    <row r="15" spans="1:26" ht="12.75" customHeight="1" x14ac:dyDescent="0.25">
      <c r="A15" s="3">
        <f t="shared" si="1"/>
        <v>8</v>
      </c>
      <c r="B15" s="100" t="s">
        <v>103</v>
      </c>
      <c r="C15" s="4">
        <f>+'ESTANDAR SALUDABLE'!F53</f>
        <v>5247</v>
      </c>
      <c r="D15" s="5">
        <v>15000</v>
      </c>
      <c r="E15" s="202">
        <f t="shared" si="2"/>
        <v>0.3498</v>
      </c>
      <c r="F15" s="1"/>
      <c r="G15" s="1"/>
      <c r="H15" s="1"/>
      <c r="I15" s="1"/>
      <c r="J15" s="1"/>
      <c r="K15" s="1"/>
      <c r="L15" s="1"/>
      <c r="M15" s="1"/>
      <c r="N15" s="1"/>
      <c r="O15" s="1"/>
      <c r="P15" s="1"/>
      <c r="Q15" s="1"/>
      <c r="R15" s="1"/>
      <c r="S15" s="1"/>
      <c r="T15" s="1"/>
      <c r="U15" s="1"/>
      <c r="V15" s="1"/>
      <c r="W15" s="1"/>
      <c r="X15" s="1"/>
      <c r="Y15" s="1"/>
      <c r="Z15" s="1"/>
    </row>
    <row r="16" spans="1:26" ht="12.75" customHeight="1" x14ac:dyDescent="0.25">
      <c r="A16" s="3"/>
      <c r="B16" s="99"/>
      <c r="C16" s="4"/>
      <c r="D16" s="5"/>
      <c r="E16" s="196"/>
      <c r="F16" s="1"/>
      <c r="G16" s="1"/>
      <c r="H16" s="1"/>
      <c r="I16" s="1"/>
      <c r="J16" s="1"/>
      <c r="K16" s="1"/>
      <c r="L16" s="1"/>
      <c r="M16" s="1"/>
      <c r="N16" s="1"/>
      <c r="O16" s="1"/>
      <c r="P16" s="1"/>
      <c r="Q16" s="1"/>
      <c r="R16" s="1"/>
      <c r="S16" s="1"/>
      <c r="T16" s="1"/>
      <c r="U16" s="1"/>
      <c r="V16" s="1"/>
      <c r="W16" s="1"/>
      <c r="X16" s="1"/>
      <c r="Y16" s="1"/>
      <c r="Z16" s="1"/>
    </row>
    <row r="17" spans="1:26" ht="12.75" customHeight="1" x14ac:dyDescent="0.25">
      <c r="A17" s="219" t="s">
        <v>104</v>
      </c>
      <c r="B17" s="220"/>
      <c r="C17" s="68" t="s">
        <v>2</v>
      </c>
      <c r="D17" s="69" t="s">
        <v>3</v>
      </c>
      <c r="E17" s="195" t="s">
        <v>4</v>
      </c>
      <c r="F17" s="1"/>
      <c r="G17" s="1"/>
      <c r="H17" s="1"/>
      <c r="I17" s="1"/>
      <c r="J17" s="1"/>
      <c r="K17" s="1"/>
      <c r="L17" s="1"/>
      <c r="M17" s="1"/>
      <c r="N17" s="1"/>
      <c r="O17" s="1"/>
      <c r="P17" s="1"/>
      <c r="Q17" s="1"/>
      <c r="R17" s="1"/>
      <c r="S17" s="1"/>
      <c r="T17" s="1"/>
      <c r="U17" s="1"/>
      <c r="V17" s="1"/>
      <c r="W17" s="1"/>
      <c r="X17" s="1"/>
      <c r="Y17" s="1"/>
      <c r="Z17" s="1"/>
    </row>
    <row r="18" spans="1:26" ht="12.75" customHeight="1" x14ac:dyDescent="0.25">
      <c r="A18" s="3">
        <v>9</v>
      </c>
      <c r="B18" s="107" t="s">
        <v>105</v>
      </c>
      <c r="C18" s="4">
        <f>+'ESTANDAR ENTRADAS'!F10</f>
        <v>8117.3730564373891</v>
      </c>
      <c r="D18" s="5">
        <v>14000</v>
      </c>
      <c r="E18" s="203">
        <f t="shared" ref="E18:E20" si="3">+C18/D18</f>
        <v>0.57981236117409918</v>
      </c>
      <c r="F18" s="1"/>
      <c r="G18" s="1"/>
      <c r="H18" s="1"/>
      <c r="I18" s="1"/>
      <c r="J18" s="1"/>
      <c r="K18" s="1"/>
      <c r="L18" s="1"/>
      <c r="M18" s="1"/>
      <c r="N18" s="1"/>
      <c r="O18" s="1"/>
      <c r="P18" s="1"/>
      <c r="Q18" s="1"/>
      <c r="R18" s="1"/>
      <c r="S18" s="1"/>
      <c r="T18" s="1"/>
      <c r="U18" s="1"/>
      <c r="V18" s="1"/>
      <c r="W18" s="1"/>
      <c r="X18" s="1"/>
      <c r="Y18" s="1"/>
      <c r="Z18" s="1"/>
    </row>
    <row r="19" spans="1:26" ht="12.75" customHeight="1" x14ac:dyDescent="0.25">
      <c r="A19" s="3">
        <f>1+A18</f>
        <v>10</v>
      </c>
      <c r="B19" s="101" t="s">
        <v>106</v>
      </c>
      <c r="C19" s="4">
        <f>+'ESTANDAR ENTRADAS'!F31</f>
        <v>4219.1000000000004</v>
      </c>
      <c r="D19" s="5">
        <v>20000</v>
      </c>
      <c r="E19" s="202">
        <f t="shared" si="3"/>
        <v>0.21095500000000003</v>
      </c>
      <c r="F19" s="1"/>
      <c r="G19" s="1"/>
      <c r="H19" s="1"/>
      <c r="I19" s="1"/>
      <c r="J19" s="1"/>
      <c r="K19" s="1"/>
      <c r="L19" s="1"/>
      <c r="M19" s="1"/>
      <c r="N19" s="1"/>
      <c r="O19" s="1"/>
      <c r="P19" s="1"/>
      <c r="Q19" s="1"/>
      <c r="R19" s="1"/>
      <c r="S19" s="1"/>
      <c r="T19" s="1"/>
      <c r="U19" s="1"/>
      <c r="V19" s="1"/>
      <c r="W19" s="1"/>
      <c r="X19" s="1"/>
      <c r="Y19" s="1"/>
      <c r="Z19" s="1"/>
    </row>
    <row r="20" spans="1:26" ht="12.75" customHeight="1" x14ac:dyDescent="0.25">
      <c r="A20" s="3">
        <f t="shared" ref="A20" si="4">1+A19</f>
        <v>11</v>
      </c>
      <c r="B20" s="101" t="s">
        <v>107</v>
      </c>
      <c r="C20" s="4">
        <f>+'ESTANDAR ENTRADAS'!F58</f>
        <v>20268.461499999998</v>
      </c>
      <c r="D20" s="5">
        <v>28000</v>
      </c>
      <c r="E20" s="203">
        <f t="shared" si="3"/>
        <v>0.72387362499999997</v>
      </c>
      <c r="F20" s="175" t="s">
        <v>418</v>
      </c>
      <c r="G20" s="1"/>
      <c r="H20" s="1"/>
      <c r="I20" s="1"/>
      <c r="J20" s="1"/>
      <c r="K20" s="1"/>
      <c r="L20" s="1"/>
      <c r="M20" s="1"/>
      <c r="N20" s="1"/>
      <c r="O20" s="1"/>
      <c r="P20" s="1"/>
      <c r="Q20" s="1"/>
      <c r="R20" s="1"/>
      <c r="S20" s="1"/>
      <c r="T20" s="1"/>
      <c r="U20" s="1"/>
      <c r="V20" s="1"/>
      <c r="W20" s="1"/>
      <c r="X20" s="1"/>
      <c r="Y20" s="1"/>
      <c r="Z20" s="1"/>
    </row>
    <row r="21" spans="1:26" ht="12.75" customHeight="1" x14ac:dyDescent="0.25">
      <c r="A21" s="3"/>
      <c r="B21" s="101"/>
      <c r="C21" s="4"/>
      <c r="D21" s="5"/>
      <c r="E21" s="197"/>
      <c r="F21" s="1"/>
      <c r="G21" s="1"/>
      <c r="H21" s="1"/>
      <c r="I21" s="1"/>
      <c r="J21" s="1"/>
      <c r="K21" s="1"/>
      <c r="L21" s="1"/>
      <c r="M21" s="1"/>
      <c r="N21" s="1"/>
      <c r="O21" s="1"/>
      <c r="P21" s="1"/>
      <c r="Q21" s="1"/>
      <c r="R21" s="1"/>
      <c r="S21" s="1"/>
      <c r="T21" s="1"/>
      <c r="U21" s="1"/>
      <c r="V21" s="1"/>
      <c r="W21" s="1"/>
      <c r="X21" s="1"/>
      <c r="Y21" s="1"/>
      <c r="Z21" s="1"/>
    </row>
    <row r="22" spans="1:26" ht="12.75" customHeight="1" x14ac:dyDescent="0.25">
      <c r="A22" s="219" t="s">
        <v>108</v>
      </c>
      <c r="B22" s="223"/>
      <c r="C22" s="68" t="s">
        <v>2</v>
      </c>
      <c r="D22" s="69" t="s">
        <v>3</v>
      </c>
      <c r="E22" s="195" t="s">
        <v>4</v>
      </c>
      <c r="F22" s="1"/>
      <c r="G22" s="1"/>
      <c r="H22" s="1"/>
      <c r="I22" s="1"/>
      <c r="J22" s="1"/>
      <c r="K22" s="1"/>
      <c r="L22" s="1"/>
      <c r="M22" s="1"/>
      <c r="N22" s="1"/>
      <c r="O22" s="1"/>
      <c r="P22" s="1"/>
      <c r="Q22" s="1"/>
      <c r="R22" s="1"/>
      <c r="S22" s="1"/>
      <c r="T22" s="1"/>
      <c r="U22" s="1"/>
      <c r="V22" s="1"/>
      <c r="W22" s="1"/>
      <c r="X22" s="1"/>
      <c r="Y22" s="1"/>
      <c r="Z22" s="1"/>
    </row>
    <row r="23" spans="1:26" ht="12.75" customHeight="1" x14ac:dyDescent="0.25">
      <c r="A23" s="3">
        <v>12</v>
      </c>
      <c r="B23" s="101" t="s">
        <v>109</v>
      </c>
      <c r="C23" s="4">
        <f>+'AVES DEL CORRAL'!F12</f>
        <v>13392.241024660416</v>
      </c>
      <c r="D23" s="5">
        <v>30000</v>
      </c>
      <c r="E23" s="203">
        <f t="shared" ref="E23:E26" si="5">+C23/D23</f>
        <v>0.44640803415534719</v>
      </c>
      <c r="F23" s="1"/>
      <c r="G23" s="1"/>
      <c r="H23" s="1"/>
      <c r="I23" s="1"/>
      <c r="J23" s="1"/>
      <c r="K23" s="1"/>
      <c r="L23" s="1"/>
      <c r="M23" s="1"/>
      <c r="N23" s="1"/>
      <c r="O23" s="1"/>
      <c r="P23" s="1"/>
      <c r="Q23" s="1"/>
      <c r="R23" s="1"/>
      <c r="S23" s="1"/>
      <c r="T23" s="1"/>
      <c r="U23" s="1"/>
      <c r="V23" s="1"/>
      <c r="W23" s="1"/>
      <c r="X23" s="1"/>
      <c r="Y23" s="1"/>
      <c r="Z23" s="1"/>
    </row>
    <row r="24" spans="1:26" ht="12.75" customHeight="1" x14ac:dyDescent="0.25">
      <c r="A24" s="3">
        <f>1+A23</f>
        <v>13</v>
      </c>
      <c r="B24" s="101" t="s">
        <v>110</v>
      </c>
      <c r="C24" s="4">
        <f>+'AVES DEL CORRAL'!F37</f>
        <v>14436.710556437389</v>
      </c>
      <c r="D24" s="5">
        <v>38000</v>
      </c>
      <c r="E24" s="202">
        <f t="shared" si="5"/>
        <v>0.37991343569572078</v>
      </c>
      <c r="F24" s="1"/>
      <c r="G24" s="1"/>
      <c r="H24" s="1"/>
      <c r="I24" s="1"/>
      <c r="J24" s="1"/>
      <c r="K24" s="1"/>
      <c r="L24" s="1"/>
      <c r="M24" s="1"/>
      <c r="N24" s="1"/>
      <c r="O24" s="1"/>
      <c r="P24" s="1"/>
      <c r="Q24" s="1"/>
      <c r="R24" s="1"/>
      <c r="S24" s="1"/>
      <c r="T24" s="1"/>
      <c r="U24" s="1"/>
      <c r="V24" s="1"/>
      <c r="W24" s="1"/>
      <c r="X24" s="1"/>
      <c r="Y24" s="1"/>
      <c r="Z24" s="1"/>
    </row>
    <row r="25" spans="1:26" ht="12.75" customHeight="1" x14ac:dyDescent="0.25">
      <c r="A25" s="3">
        <f t="shared" ref="A25:A26" si="6">1+A24</f>
        <v>14</v>
      </c>
      <c r="B25" s="101" t="s">
        <v>111</v>
      </c>
      <c r="C25" s="4">
        <f>+'AVES DEL CORRAL'!F60</f>
        <v>13150.881024660415</v>
      </c>
      <c r="D25" s="5">
        <v>34000</v>
      </c>
      <c r="E25" s="202">
        <f t="shared" si="5"/>
        <v>0.38679061837236517</v>
      </c>
      <c r="F25" s="1"/>
      <c r="G25" s="1"/>
      <c r="H25" s="1"/>
      <c r="I25" s="1"/>
      <c r="J25" s="1"/>
      <c r="K25" s="1"/>
      <c r="L25" s="1"/>
      <c r="M25" s="1"/>
      <c r="N25" s="1"/>
      <c r="O25" s="1"/>
      <c r="P25" s="1"/>
      <c r="Q25" s="1"/>
      <c r="R25" s="1"/>
      <c r="S25" s="1"/>
      <c r="T25" s="1"/>
      <c r="U25" s="1"/>
      <c r="V25" s="1"/>
      <c r="W25" s="1"/>
      <c r="X25" s="1"/>
      <c r="Y25" s="1"/>
      <c r="Z25" s="1"/>
    </row>
    <row r="26" spans="1:26" ht="12.75" customHeight="1" x14ac:dyDescent="0.25">
      <c r="A26" s="3">
        <f t="shared" si="6"/>
        <v>15</v>
      </c>
      <c r="B26" s="108" t="s">
        <v>112</v>
      </c>
      <c r="C26" s="4">
        <f>+'AVES DEL CORRAL'!F84</f>
        <v>16649.606993219</v>
      </c>
      <c r="D26" s="5">
        <v>38000</v>
      </c>
      <c r="E26" s="203">
        <f t="shared" si="5"/>
        <v>0.43814755245313158</v>
      </c>
      <c r="F26" s="1"/>
      <c r="G26" s="1"/>
      <c r="H26" s="1"/>
      <c r="I26" s="1"/>
      <c r="J26" s="1"/>
      <c r="K26" s="1"/>
      <c r="L26" s="1"/>
      <c r="M26" s="1"/>
      <c r="N26" s="1"/>
      <c r="O26" s="1"/>
      <c r="P26" s="1"/>
      <c r="Q26" s="1"/>
      <c r="R26" s="1"/>
      <c r="S26" s="1"/>
      <c r="T26" s="1"/>
      <c r="U26" s="1"/>
      <c r="V26" s="1"/>
      <c r="W26" s="1"/>
      <c r="X26" s="1"/>
      <c r="Y26" s="1"/>
      <c r="Z26" s="1"/>
    </row>
    <row r="27" spans="1:26" ht="12.75" customHeight="1" x14ac:dyDescent="0.25">
      <c r="A27" s="3"/>
      <c r="B27" s="101"/>
      <c r="C27" s="4"/>
      <c r="D27" s="5"/>
      <c r="E27" s="196"/>
      <c r="F27" s="1"/>
      <c r="G27" s="1"/>
      <c r="H27" s="1"/>
      <c r="I27" s="1"/>
      <c r="J27" s="1"/>
      <c r="K27" s="1"/>
      <c r="L27" s="1"/>
      <c r="M27" s="1"/>
      <c r="N27" s="1"/>
      <c r="O27" s="1"/>
      <c r="P27" s="1"/>
      <c r="Q27" s="1"/>
      <c r="R27" s="1"/>
      <c r="S27" s="1"/>
      <c r="T27" s="1"/>
      <c r="U27" s="1"/>
      <c r="V27" s="1"/>
      <c r="W27" s="1"/>
      <c r="X27" s="1"/>
      <c r="Y27" s="1"/>
      <c r="Z27" s="1"/>
    </row>
    <row r="28" spans="1:26" ht="12.75" customHeight="1" x14ac:dyDescent="0.25">
      <c r="A28" s="217" t="s">
        <v>113</v>
      </c>
      <c r="B28" s="218"/>
      <c r="C28" s="2" t="s">
        <v>2</v>
      </c>
      <c r="D28" s="2" t="s">
        <v>5</v>
      </c>
      <c r="E28" s="195" t="s">
        <v>4</v>
      </c>
      <c r="F28" s="1"/>
      <c r="G28" s="1"/>
      <c r="H28" s="1"/>
      <c r="I28" s="1"/>
      <c r="J28" s="1"/>
      <c r="K28" s="1"/>
      <c r="L28" s="1"/>
      <c r="M28" s="1"/>
      <c r="N28" s="1"/>
      <c r="O28" s="1"/>
      <c r="P28" s="1"/>
      <c r="Q28" s="1"/>
      <c r="R28" s="1"/>
      <c r="S28" s="1"/>
      <c r="T28" s="1"/>
      <c r="U28" s="1"/>
      <c r="V28" s="1"/>
      <c r="W28" s="1"/>
      <c r="X28" s="1"/>
      <c r="Y28" s="1"/>
      <c r="Z28" s="1"/>
    </row>
    <row r="29" spans="1:26" ht="12.75" customHeight="1" x14ac:dyDescent="0.25">
      <c r="A29" s="3">
        <v>16</v>
      </c>
      <c r="B29" s="100" t="s">
        <v>114</v>
      </c>
      <c r="C29" s="5">
        <f>+'SABORES DE CERDO'!F15</f>
        <v>15004.538999999999</v>
      </c>
      <c r="D29" s="5">
        <v>40000</v>
      </c>
      <c r="E29" s="204">
        <v>0.38</v>
      </c>
      <c r="F29" s="1"/>
      <c r="G29" s="1"/>
      <c r="H29" s="1"/>
      <c r="I29" s="1"/>
      <c r="J29" s="1"/>
      <c r="K29" s="1"/>
      <c r="L29" s="1"/>
      <c r="M29" s="1"/>
      <c r="N29" s="1"/>
      <c r="O29" s="1"/>
      <c r="P29" s="1"/>
      <c r="Q29" s="1"/>
      <c r="R29" s="1"/>
      <c r="S29" s="1"/>
      <c r="T29" s="1"/>
      <c r="U29" s="1"/>
      <c r="V29" s="1"/>
      <c r="W29" s="1"/>
      <c r="X29" s="1"/>
      <c r="Y29" s="1"/>
      <c r="Z29" s="1"/>
    </row>
    <row r="30" spans="1:26" ht="12.75" customHeight="1" x14ac:dyDescent="0.25">
      <c r="A30" s="3"/>
      <c r="B30" s="100"/>
      <c r="C30" s="5"/>
      <c r="D30" s="5"/>
      <c r="E30" s="196"/>
      <c r="F30" s="1"/>
      <c r="G30" s="1"/>
      <c r="H30" s="1"/>
      <c r="I30" s="1"/>
      <c r="J30" s="1"/>
      <c r="K30" s="1"/>
      <c r="L30" s="1"/>
      <c r="M30" s="1"/>
      <c r="N30" s="1"/>
      <c r="O30" s="1"/>
      <c r="P30" s="1"/>
      <c r="Q30" s="1"/>
      <c r="R30" s="1"/>
      <c r="S30" s="1"/>
      <c r="T30" s="1"/>
      <c r="U30" s="1"/>
      <c r="V30" s="1"/>
      <c r="W30" s="1"/>
      <c r="X30" s="1"/>
      <c r="Y30" s="1"/>
      <c r="Z30" s="1"/>
    </row>
    <row r="31" spans="1:26" ht="12.75" customHeight="1" x14ac:dyDescent="0.25">
      <c r="A31" s="206" t="s">
        <v>115</v>
      </c>
      <c r="B31" s="207"/>
      <c r="C31" s="2" t="s">
        <v>2</v>
      </c>
      <c r="D31" s="2" t="s">
        <v>5</v>
      </c>
      <c r="E31" s="195" t="s">
        <v>4</v>
      </c>
      <c r="F31" s="1"/>
      <c r="G31" s="1"/>
      <c r="H31" s="1"/>
      <c r="I31" s="1"/>
      <c r="J31" s="1"/>
      <c r="K31" s="1"/>
      <c r="L31" s="1"/>
      <c r="M31" s="1"/>
      <c r="N31" s="1"/>
      <c r="O31" s="1"/>
      <c r="P31" s="1"/>
      <c r="Q31" s="1"/>
      <c r="R31" s="1"/>
      <c r="S31" s="1"/>
      <c r="T31" s="1"/>
      <c r="U31" s="1"/>
      <c r="V31" s="1"/>
      <c r="W31" s="1"/>
      <c r="X31" s="1"/>
      <c r="Y31" s="1"/>
      <c r="Z31" s="1"/>
    </row>
    <row r="32" spans="1:26" ht="12.75" customHeight="1" x14ac:dyDescent="0.25">
      <c r="A32" s="3">
        <v>17</v>
      </c>
      <c r="B32" s="100" t="s">
        <v>116</v>
      </c>
      <c r="C32" s="5">
        <f>+'TESOROS DEL RIO'!F18</f>
        <v>16193.544463256907</v>
      </c>
      <c r="D32" s="5">
        <v>38000</v>
      </c>
      <c r="E32" s="205">
        <f>+C32/D32</f>
        <v>0.42614590692781334</v>
      </c>
      <c r="F32" s="1"/>
      <c r="G32" s="1"/>
      <c r="H32" s="1"/>
      <c r="I32" s="1"/>
      <c r="J32" s="1"/>
      <c r="K32" s="1"/>
      <c r="L32" s="1"/>
      <c r="M32" s="1"/>
      <c r="N32" s="1"/>
      <c r="O32" s="1"/>
      <c r="P32" s="1"/>
      <c r="Q32" s="1"/>
      <c r="R32" s="1"/>
      <c r="S32" s="1"/>
      <c r="T32" s="1"/>
      <c r="U32" s="1"/>
      <c r="V32" s="1"/>
      <c r="W32" s="1"/>
      <c r="X32" s="1"/>
      <c r="Y32" s="1"/>
      <c r="Z32" s="1"/>
    </row>
    <row r="33" spans="1:26" ht="12.75" customHeight="1" x14ac:dyDescent="0.25">
      <c r="A33" s="3">
        <f t="shared" ref="A33:A38" si="7">+A32+1</f>
        <v>18</v>
      </c>
      <c r="B33" s="100" t="s">
        <v>117</v>
      </c>
      <c r="C33" s="5">
        <f>+'TESOROS DEL RIO'!F44</f>
        <v>17423.27311287478</v>
      </c>
      <c r="D33" s="5">
        <v>39000</v>
      </c>
      <c r="E33" s="205">
        <f t="shared" ref="E33:E38" si="8">+C33/D33</f>
        <v>0.44675059263781486</v>
      </c>
      <c r="F33" s="1"/>
      <c r="G33" s="1"/>
      <c r="H33" s="1"/>
      <c r="I33" s="1"/>
      <c r="J33" s="1"/>
      <c r="K33" s="1"/>
      <c r="L33" s="1"/>
      <c r="M33" s="1"/>
      <c r="N33" s="1"/>
      <c r="O33" s="1"/>
      <c r="P33" s="1"/>
      <c r="Q33" s="1"/>
      <c r="R33" s="1"/>
      <c r="S33" s="1"/>
      <c r="T33" s="1"/>
      <c r="U33" s="1"/>
      <c r="V33" s="1"/>
      <c r="W33" s="1"/>
      <c r="X33" s="1"/>
      <c r="Y33" s="1"/>
      <c r="Z33" s="1"/>
    </row>
    <row r="34" spans="1:26" ht="12.75" customHeight="1" x14ac:dyDescent="0.25">
      <c r="A34" s="3">
        <f t="shared" si="7"/>
        <v>19</v>
      </c>
      <c r="B34" s="100" t="s">
        <v>118</v>
      </c>
      <c r="C34" s="5">
        <f>+'TESOROS DEL RIO'!F70</f>
        <v>15260.446231299033</v>
      </c>
      <c r="D34" s="5">
        <v>42000</v>
      </c>
      <c r="E34" s="205">
        <f t="shared" si="8"/>
        <v>0.36334395788807222</v>
      </c>
      <c r="F34" s="1"/>
      <c r="G34" s="1"/>
      <c r="H34" s="1"/>
      <c r="I34" s="1"/>
      <c r="J34" s="1"/>
      <c r="K34" s="1"/>
      <c r="L34" s="1"/>
      <c r="M34" s="1"/>
      <c r="N34" s="1"/>
      <c r="O34" s="1"/>
      <c r="P34" s="1"/>
      <c r="Q34" s="1"/>
      <c r="R34" s="1"/>
      <c r="S34" s="1"/>
      <c r="T34" s="1"/>
      <c r="U34" s="1"/>
      <c r="V34" s="1"/>
      <c r="W34" s="1"/>
      <c r="X34" s="1"/>
      <c r="Y34" s="1"/>
      <c r="Z34" s="1"/>
    </row>
    <row r="35" spans="1:26" ht="12.75" customHeight="1" x14ac:dyDescent="0.25">
      <c r="A35" s="3">
        <f t="shared" si="7"/>
        <v>20</v>
      </c>
      <c r="B35" s="100" t="s">
        <v>119</v>
      </c>
      <c r="C35" s="5">
        <f>+'TESOROS DEL RIO'!F98</f>
        <v>18707.759339080458</v>
      </c>
      <c r="D35" s="5">
        <v>40000</v>
      </c>
      <c r="E35" s="205">
        <f t="shared" si="8"/>
        <v>0.46769398347701147</v>
      </c>
      <c r="F35" s="1"/>
      <c r="G35" s="1"/>
      <c r="H35" s="1"/>
      <c r="I35" s="1"/>
      <c r="J35" s="1"/>
      <c r="K35" s="1"/>
      <c r="L35" s="1"/>
      <c r="M35" s="1"/>
      <c r="N35" s="1"/>
      <c r="O35" s="1"/>
      <c r="P35" s="1"/>
      <c r="Q35" s="1"/>
      <c r="R35" s="1"/>
      <c r="S35" s="1"/>
      <c r="T35" s="1"/>
      <c r="U35" s="1"/>
      <c r="V35" s="1"/>
      <c r="W35" s="1"/>
      <c r="X35" s="1"/>
      <c r="Y35" s="1"/>
      <c r="Z35" s="1"/>
    </row>
    <row r="36" spans="1:26" ht="12.75" customHeight="1" x14ac:dyDescent="0.25">
      <c r="A36" s="3">
        <f t="shared" si="7"/>
        <v>21</v>
      </c>
      <c r="B36" s="100" t="s">
        <v>120</v>
      </c>
      <c r="C36" s="5">
        <f>+'TESOROS DEL RIO'!F126</f>
        <v>20083.358839080458</v>
      </c>
      <c r="D36" s="5">
        <v>43000</v>
      </c>
      <c r="E36" s="205">
        <f t="shared" si="8"/>
        <v>0.46705485672280134</v>
      </c>
      <c r="F36" s="1"/>
      <c r="G36" s="1"/>
      <c r="H36" s="1"/>
      <c r="I36" s="1"/>
      <c r="J36" s="1"/>
      <c r="K36" s="1"/>
      <c r="L36" s="1"/>
      <c r="M36" s="1"/>
      <c r="N36" s="1"/>
      <c r="O36" s="1"/>
      <c r="P36" s="1"/>
      <c r="Q36" s="1"/>
      <c r="R36" s="1"/>
      <c r="S36" s="1"/>
      <c r="T36" s="1"/>
      <c r="U36" s="1"/>
      <c r="V36" s="1"/>
      <c r="W36" s="1"/>
      <c r="X36" s="1"/>
      <c r="Y36" s="1"/>
      <c r="Z36" s="1"/>
    </row>
    <row r="37" spans="1:26" ht="12.75" customHeight="1" x14ac:dyDescent="0.25">
      <c r="A37" s="3">
        <f t="shared" si="7"/>
        <v>22</v>
      </c>
      <c r="B37" s="100" t="s">
        <v>121</v>
      </c>
      <c r="C37" s="5">
        <f>+'TESOROS DEL RIO'!F155</f>
        <v>22267.545505747126</v>
      </c>
      <c r="D37" s="5">
        <v>45000</v>
      </c>
      <c r="E37" s="205">
        <f t="shared" si="8"/>
        <v>0.49483434457215836</v>
      </c>
      <c r="F37" s="1"/>
      <c r="G37" s="1"/>
      <c r="H37" s="1"/>
      <c r="I37" s="1"/>
      <c r="J37" s="1"/>
      <c r="K37" s="1"/>
      <c r="L37" s="1"/>
      <c r="M37" s="1"/>
      <c r="N37" s="1"/>
      <c r="O37" s="1"/>
      <c r="P37" s="1"/>
      <c r="Q37" s="1"/>
      <c r="R37" s="1"/>
      <c r="S37" s="1"/>
      <c r="T37" s="1"/>
      <c r="U37" s="1"/>
      <c r="V37" s="1"/>
      <c r="W37" s="1"/>
      <c r="X37" s="1"/>
      <c r="Y37" s="1"/>
      <c r="Z37" s="1"/>
    </row>
    <row r="38" spans="1:26" ht="12.75" customHeight="1" x14ac:dyDescent="0.25">
      <c r="A38" s="3">
        <f t="shared" si="7"/>
        <v>23</v>
      </c>
      <c r="B38" s="100" t="s">
        <v>122</v>
      </c>
      <c r="C38" s="5">
        <f>+'TESOROS DEL RIO'!F185</f>
        <v>25039.142172413791</v>
      </c>
      <c r="D38" s="5">
        <v>45000</v>
      </c>
      <c r="E38" s="205">
        <f t="shared" si="8"/>
        <v>0.5564253816091953</v>
      </c>
      <c r="F38" s="1"/>
      <c r="G38" s="1"/>
      <c r="H38" s="1"/>
      <c r="I38" s="1"/>
      <c r="J38" s="1"/>
      <c r="K38" s="1"/>
      <c r="L38" s="1"/>
      <c r="M38" s="1"/>
      <c r="N38" s="1"/>
      <c r="O38" s="1"/>
      <c r="P38" s="1"/>
      <c r="Q38" s="1"/>
      <c r="R38" s="1"/>
      <c r="S38" s="1"/>
      <c r="T38" s="1"/>
      <c r="U38" s="1"/>
      <c r="V38" s="1"/>
      <c r="W38" s="1"/>
      <c r="X38" s="1"/>
      <c r="Y38" s="1"/>
      <c r="Z38" s="1"/>
    </row>
    <row r="39" spans="1:26" ht="12.75" customHeight="1" x14ac:dyDescent="0.25">
      <c r="A39" s="3"/>
      <c r="B39" s="99"/>
      <c r="C39" s="5"/>
      <c r="D39" s="5"/>
      <c r="E39" s="196"/>
      <c r="F39" s="1"/>
      <c r="G39" s="1"/>
      <c r="H39" s="1"/>
      <c r="I39" s="1"/>
      <c r="J39" s="1"/>
      <c r="K39" s="1"/>
      <c r="L39" s="1"/>
      <c r="M39" s="1"/>
      <c r="N39" s="1"/>
      <c r="O39" s="1"/>
      <c r="P39" s="1"/>
      <c r="Q39" s="1"/>
      <c r="R39" s="1"/>
      <c r="S39" s="1"/>
      <c r="T39" s="1"/>
      <c r="U39" s="1"/>
      <c r="V39" s="1"/>
      <c r="W39" s="1"/>
      <c r="X39" s="1"/>
      <c r="Y39" s="1"/>
      <c r="Z39" s="1"/>
    </row>
    <row r="40" spans="1:26" ht="12.75" customHeight="1" x14ac:dyDescent="0.25">
      <c r="A40" s="206" t="s">
        <v>123</v>
      </c>
      <c r="B40" s="207"/>
      <c r="C40" s="2" t="s">
        <v>2</v>
      </c>
      <c r="D40" s="109" t="s">
        <v>5</v>
      </c>
      <c r="E40" s="195" t="s">
        <v>4</v>
      </c>
      <c r="F40" s="1"/>
      <c r="G40" s="1"/>
      <c r="H40" s="1"/>
      <c r="I40" s="1"/>
      <c r="J40" s="1"/>
      <c r="K40" s="1"/>
      <c r="L40" s="1"/>
      <c r="M40" s="1"/>
      <c r="N40" s="1"/>
      <c r="O40" s="1"/>
      <c r="P40" s="1"/>
      <c r="Q40" s="1"/>
      <c r="R40" s="1"/>
      <c r="S40" s="1"/>
      <c r="T40" s="1"/>
      <c r="U40" s="1"/>
      <c r="V40" s="1"/>
      <c r="W40" s="1"/>
      <c r="X40" s="1"/>
      <c r="Y40" s="1"/>
      <c r="Z40" s="1"/>
    </row>
    <row r="41" spans="1:26" ht="12.75" customHeight="1" x14ac:dyDescent="0.25">
      <c r="A41" s="3">
        <v>24</v>
      </c>
      <c r="B41" s="100" t="s">
        <v>124</v>
      </c>
      <c r="C41" s="5">
        <f>+'CARNE DEL CORRAL'!F15</f>
        <v>20567.196814134102</v>
      </c>
      <c r="D41" s="5">
        <v>43000</v>
      </c>
      <c r="E41" s="205">
        <f>+C41/D41</f>
        <v>0.47830690265428144</v>
      </c>
      <c r="F41" s="1"/>
      <c r="G41" s="1"/>
      <c r="H41" s="1"/>
      <c r="I41" s="1"/>
      <c r="J41" s="1"/>
      <c r="K41" s="1"/>
      <c r="L41" s="1"/>
      <c r="M41" s="1"/>
      <c r="N41" s="1"/>
      <c r="O41" s="1"/>
      <c r="P41" s="1"/>
      <c r="Q41" s="1"/>
      <c r="R41" s="1"/>
      <c r="S41" s="1"/>
      <c r="T41" s="1"/>
      <c r="U41" s="1"/>
      <c r="V41" s="1"/>
      <c r="W41" s="1"/>
      <c r="X41" s="1"/>
      <c r="Y41" s="1"/>
      <c r="Z41" s="1"/>
    </row>
    <row r="42" spans="1:26" ht="12.75" customHeight="1" x14ac:dyDescent="0.25">
      <c r="A42" s="3">
        <f t="shared" ref="A42:A46" si="9">+A41+1</f>
        <v>25</v>
      </c>
      <c r="B42" s="100" t="s">
        <v>125</v>
      </c>
      <c r="C42" s="5">
        <f>+'CARNE DEL CORRAL'!F40</f>
        <v>22333.431814134103</v>
      </c>
      <c r="D42" s="5">
        <v>44000</v>
      </c>
      <c r="E42" s="205">
        <f t="shared" ref="E42:E46" si="10">+C42/D42</f>
        <v>0.50757799577577511</v>
      </c>
      <c r="F42" s="1"/>
      <c r="G42" s="1"/>
      <c r="H42" s="1"/>
      <c r="I42" s="1"/>
      <c r="J42" s="1"/>
      <c r="K42" s="1"/>
      <c r="L42" s="1"/>
      <c r="M42" s="1"/>
      <c r="N42" s="1"/>
      <c r="O42" s="1"/>
      <c r="P42" s="1"/>
      <c r="Q42" s="1"/>
      <c r="R42" s="1"/>
      <c r="S42" s="1"/>
      <c r="T42" s="1"/>
      <c r="U42" s="1"/>
      <c r="V42" s="1"/>
      <c r="W42" s="1"/>
      <c r="X42" s="1"/>
      <c r="Y42" s="1"/>
      <c r="Z42" s="1"/>
    </row>
    <row r="43" spans="1:26" ht="12.75" customHeight="1" x14ac:dyDescent="0.25">
      <c r="A43" s="3">
        <f t="shared" si="9"/>
        <v>26</v>
      </c>
      <c r="B43" s="100" t="s">
        <v>126</v>
      </c>
      <c r="C43" s="5">
        <f>+'CARNE DEL CORRAL'!F68</f>
        <v>5006.5554473684206</v>
      </c>
      <c r="D43" s="5">
        <v>60000</v>
      </c>
      <c r="E43" s="205">
        <f t="shared" si="10"/>
        <v>8.3442590789473678E-2</v>
      </c>
      <c r="F43" s="1" t="s">
        <v>428</v>
      </c>
      <c r="G43" s="1"/>
      <c r="H43" s="1"/>
      <c r="I43" s="1"/>
      <c r="J43" s="1"/>
      <c r="K43" s="1"/>
      <c r="L43" s="1"/>
      <c r="M43" s="1"/>
      <c r="N43" s="1"/>
      <c r="O43" s="1"/>
      <c r="P43" s="1"/>
      <c r="Q43" s="1"/>
      <c r="R43" s="1"/>
      <c r="S43" s="1"/>
      <c r="T43" s="1"/>
      <c r="U43" s="1"/>
      <c r="V43" s="1"/>
      <c r="W43" s="1"/>
      <c r="X43" s="1"/>
      <c r="Y43" s="1"/>
      <c r="Z43" s="1"/>
    </row>
    <row r="44" spans="1:26" ht="12.75" customHeight="1" x14ac:dyDescent="0.25">
      <c r="A44" s="3">
        <f t="shared" si="9"/>
        <v>27</v>
      </c>
      <c r="B44" s="100" t="s">
        <v>127</v>
      </c>
      <c r="C44" s="6">
        <f>+'CARNE DEL CORRAL'!F94</f>
        <v>10498.627492693373</v>
      </c>
      <c r="D44" s="5">
        <v>29000</v>
      </c>
      <c r="E44" s="204">
        <f t="shared" si="10"/>
        <v>0.3620216376790818</v>
      </c>
      <c r="F44" s="1"/>
      <c r="G44" s="1"/>
      <c r="H44" s="1"/>
      <c r="I44" s="1"/>
      <c r="J44" s="1"/>
      <c r="K44" s="1"/>
      <c r="L44" s="1"/>
      <c r="M44" s="1"/>
      <c r="N44" s="1"/>
      <c r="O44" s="1"/>
      <c r="P44" s="1"/>
      <c r="Q44" s="1"/>
      <c r="R44" s="1"/>
      <c r="S44" s="1"/>
      <c r="T44" s="1"/>
      <c r="U44" s="1"/>
      <c r="V44" s="1"/>
      <c r="W44" s="1"/>
      <c r="X44" s="1"/>
      <c r="Y44" s="1"/>
      <c r="Z44" s="1"/>
    </row>
    <row r="45" spans="1:26" ht="12.75" customHeight="1" x14ac:dyDescent="0.25">
      <c r="A45" s="3">
        <f t="shared" si="9"/>
        <v>28</v>
      </c>
      <c r="B45" s="100" t="s">
        <v>128</v>
      </c>
      <c r="C45" s="6">
        <f>+'CARNE DEL CORRAL'!F122</f>
        <v>6744.7739999999994</v>
      </c>
      <c r="D45" s="5">
        <v>38000</v>
      </c>
      <c r="E45" s="205">
        <f t="shared" si="10"/>
        <v>0.17749405263157894</v>
      </c>
      <c r="F45" s="1" t="s">
        <v>428</v>
      </c>
      <c r="G45" s="1"/>
      <c r="H45" s="1"/>
      <c r="I45" s="1"/>
      <c r="J45" s="1"/>
      <c r="K45" s="1"/>
      <c r="L45" s="1"/>
      <c r="M45" s="1"/>
      <c r="N45" s="1"/>
      <c r="O45" s="1"/>
      <c r="P45" s="1"/>
      <c r="Q45" s="1"/>
      <c r="R45" s="1"/>
      <c r="S45" s="1"/>
      <c r="T45" s="1"/>
      <c r="U45" s="1"/>
      <c r="V45" s="1"/>
      <c r="W45" s="1"/>
      <c r="X45" s="1"/>
      <c r="Y45" s="1"/>
      <c r="Z45" s="1"/>
    </row>
    <row r="46" spans="1:26" ht="12.75" customHeight="1" x14ac:dyDescent="0.25">
      <c r="A46" s="3">
        <f t="shared" si="9"/>
        <v>29</v>
      </c>
      <c r="B46" s="100" t="s">
        <v>129</v>
      </c>
      <c r="C46" s="6">
        <f>+'CARNE DEL CORRAL'!F148</f>
        <v>6744.7739999999994</v>
      </c>
      <c r="D46" s="5">
        <v>38000</v>
      </c>
      <c r="E46" s="205">
        <f t="shared" si="10"/>
        <v>0.17749405263157894</v>
      </c>
      <c r="F46" s="1" t="s">
        <v>428</v>
      </c>
      <c r="G46" s="1"/>
      <c r="H46" s="1"/>
      <c r="I46" s="1"/>
      <c r="J46" s="1"/>
      <c r="K46" s="1"/>
      <c r="L46" s="1"/>
      <c r="M46" s="1"/>
      <c r="N46" s="1"/>
      <c r="O46" s="1"/>
      <c r="P46" s="1"/>
      <c r="Q46" s="1"/>
      <c r="R46" s="1"/>
      <c r="S46" s="1"/>
      <c r="T46" s="1"/>
      <c r="U46" s="1"/>
      <c r="V46" s="1"/>
      <c r="W46" s="1"/>
      <c r="X46" s="1"/>
      <c r="Y46" s="1"/>
      <c r="Z46" s="1"/>
    </row>
    <row r="47" spans="1:26" ht="12.75" customHeight="1" x14ac:dyDescent="0.25">
      <c r="A47" s="3"/>
      <c r="B47" s="99"/>
      <c r="C47" s="6"/>
      <c r="D47" s="5"/>
      <c r="E47" s="196"/>
      <c r="F47" s="1"/>
      <c r="G47" s="1"/>
      <c r="H47" s="1"/>
      <c r="I47" s="1"/>
      <c r="J47" s="1"/>
      <c r="K47" s="1"/>
      <c r="L47" s="1"/>
      <c r="M47" s="1"/>
      <c r="N47" s="1"/>
      <c r="O47" s="1"/>
      <c r="P47" s="1"/>
      <c r="Q47" s="1"/>
      <c r="R47" s="1"/>
      <c r="S47" s="1"/>
      <c r="T47" s="1"/>
      <c r="U47" s="1"/>
      <c r="V47" s="1"/>
      <c r="W47" s="1"/>
      <c r="X47" s="1"/>
      <c r="Y47" s="1"/>
      <c r="Z47" s="1"/>
    </row>
    <row r="48" spans="1:26" ht="12.75" customHeight="1" x14ac:dyDescent="0.25">
      <c r="A48" s="206" t="s">
        <v>130</v>
      </c>
      <c r="B48" s="207"/>
      <c r="C48" s="2" t="s">
        <v>2</v>
      </c>
      <c r="D48" s="109" t="s">
        <v>5</v>
      </c>
      <c r="E48" s="195" t="s">
        <v>4</v>
      </c>
      <c r="F48" s="1"/>
      <c r="G48" s="1"/>
      <c r="H48" s="1"/>
      <c r="I48" s="1"/>
      <c r="J48" s="1"/>
      <c r="K48" s="1"/>
      <c r="L48" s="1"/>
      <c r="M48" s="1"/>
      <c r="N48" s="1"/>
      <c r="O48" s="1"/>
      <c r="P48" s="1"/>
      <c r="Q48" s="1"/>
      <c r="R48" s="1"/>
      <c r="S48" s="1"/>
      <c r="T48" s="1"/>
      <c r="U48" s="1"/>
      <c r="V48" s="1"/>
      <c r="W48" s="1"/>
      <c r="X48" s="1"/>
      <c r="Y48" s="1"/>
      <c r="Z48" s="1"/>
    </row>
    <row r="49" spans="1:26" ht="12.75" customHeight="1" x14ac:dyDescent="0.25">
      <c r="A49" s="3">
        <v>30</v>
      </c>
      <c r="B49" s="100" t="s">
        <v>131</v>
      </c>
      <c r="C49" s="6">
        <f>+VEGETARIANOS!F15</f>
        <v>8163.1263265523321</v>
      </c>
      <c r="D49" s="111">
        <v>36000</v>
      </c>
      <c r="E49" s="198">
        <f>+C49/D49</f>
        <v>0.22675350907089811</v>
      </c>
      <c r="F49" s="1"/>
      <c r="G49" s="1"/>
      <c r="H49" s="1"/>
      <c r="I49" s="1"/>
      <c r="J49" s="1"/>
      <c r="K49" s="1"/>
      <c r="L49" s="1"/>
      <c r="M49" s="1"/>
      <c r="N49" s="1"/>
      <c r="O49" s="1"/>
      <c r="P49" s="1"/>
      <c r="Q49" s="1"/>
      <c r="R49" s="1"/>
      <c r="S49" s="1"/>
      <c r="T49" s="1"/>
      <c r="U49" s="1"/>
      <c r="V49" s="1"/>
      <c r="W49" s="1"/>
      <c r="X49" s="1"/>
      <c r="Y49" s="1"/>
      <c r="Z49" s="1"/>
    </row>
    <row r="50" spans="1:26" ht="12.75" customHeight="1" x14ac:dyDescent="0.25">
      <c r="A50" s="3">
        <f t="shared" ref="A50" si="11">+A49+1</f>
        <v>31</v>
      </c>
      <c r="B50" s="100" t="s">
        <v>132</v>
      </c>
      <c r="C50" s="6">
        <f>+VEGETARIANOS!F38</f>
        <v>4610</v>
      </c>
      <c r="D50" s="112">
        <v>33000</v>
      </c>
      <c r="E50" s="199"/>
      <c r="F50" s="1"/>
      <c r="G50" s="1"/>
      <c r="H50" s="1"/>
      <c r="I50" s="1"/>
      <c r="J50" s="1"/>
      <c r="K50" s="1"/>
      <c r="L50" s="1"/>
      <c r="M50" s="1"/>
      <c r="N50" s="1"/>
      <c r="O50" s="1"/>
      <c r="P50" s="1"/>
      <c r="Q50" s="1"/>
      <c r="R50" s="1"/>
      <c r="S50" s="1"/>
      <c r="T50" s="1"/>
      <c r="U50" s="1"/>
      <c r="V50" s="1"/>
      <c r="W50" s="1"/>
      <c r="X50" s="1"/>
      <c r="Y50" s="1"/>
      <c r="Z50" s="1"/>
    </row>
    <row r="51" spans="1:26" ht="12.75" customHeight="1" x14ac:dyDescent="0.25">
      <c r="A51" s="3"/>
      <c r="B51" s="99"/>
      <c r="C51" s="6"/>
      <c r="D51" s="110"/>
      <c r="E51" s="199"/>
      <c r="F51" s="1"/>
      <c r="G51" s="1"/>
      <c r="H51" s="1"/>
      <c r="I51" s="1"/>
      <c r="J51" s="1"/>
      <c r="K51" s="1"/>
      <c r="L51" s="1"/>
      <c r="M51" s="1"/>
      <c r="N51" s="1"/>
      <c r="O51" s="1"/>
      <c r="P51" s="1"/>
      <c r="Q51" s="1"/>
      <c r="R51" s="1"/>
      <c r="S51" s="1"/>
      <c r="T51" s="1"/>
      <c r="U51" s="1"/>
      <c r="V51" s="1"/>
      <c r="W51" s="1"/>
      <c r="X51" s="1"/>
      <c r="Y51" s="1"/>
      <c r="Z51" s="1"/>
    </row>
    <row r="52" spans="1:26" ht="12.75" customHeight="1" x14ac:dyDescent="0.25">
      <c r="A52" s="206" t="s">
        <v>133</v>
      </c>
      <c r="B52" s="207"/>
      <c r="C52" s="2" t="s">
        <v>2</v>
      </c>
      <c r="D52" s="109" t="s">
        <v>5</v>
      </c>
      <c r="E52" s="195" t="s">
        <v>4</v>
      </c>
      <c r="F52" s="1"/>
      <c r="G52" s="1"/>
      <c r="H52" s="1"/>
      <c r="I52" s="1"/>
      <c r="J52" s="1"/>
      <c r="K52" s="1"/>
      <c r="L52" s="1"/>
      <c r="M52" s="1"/>
      <c r="N52" s="1"/>
      <c r="O52" s="1"/>
      <c r="P52" s="1"/>
      <c r="Q52" s="1"/>
      <c r="R52" s="1"/>
      <c r="S52" s="1"/>
      <c r="T52" s="1"/>
      <c r="U52" s="1"/>
      <c r="V52" s="1"/>
      <c r="W52" s="1"/>
      <c r="X52" s="1"/>
      <c r="Y52" s="1"/>
      <c r="Z52" s="1"/>
    </row>
    <row r="53" spans="1:26" ht="12.75" customHeight="1" x14ac:dyDescent="0.25">
      <c r="A53" s="3">
        <v>32</v>
      </c>
      <c r="B53" s="100" t="s">
        <v>134</v>
      </c>
      <c r="C53" s="6">
        <f>+VEGETARIANOS!F60</f>
        <v>10126.208129923574</v>
      </c>
      <c r="D53" s="111">
        <v>28000</v>
      </c>
      <c r="E53" s="198">
        <f>+C53/D53</f>
        <v>0.36165029035441337</v>
      </c>
      <c r="F53" s="1"/>
      <c r="G53" s="1"/>
      <c r="H53" s="1"/>
      <c r="I53" s="1"/>
      <c r="J53" s="1"/>
      <c r="K53" s="1"/>
      <c r="L53" s="1"/>
      <c r="M53" s="1"/>
      <c r="N53" s="1"/>
      <c r="O53" s="1"/>
      <c r="P53" s="1"/>
      <c r="Q53" s="1"/>
      <c r="R53" s="1"/>
      <c r="S53" s="1"/>
      <c r="T53" s="1"/>
      <c r="U53" s="1"/>
      <c r="V53" s="1"/>
      <c r="W53" s="1"/>
      <c r="X53" s="1"/>
      <c r="Y53" s="1"/>
      <c r="Z53" s="1"/>
    </row>
    <row r="54" spans="1:26" ht="12.75" customHeight="1" x14ac:dyDescent="0.25">
      <c r="A54" s="3"/>
      <c r="B54" s="100"/>
      <c r="C54" s="6"/>
      <c r="D54" s="112"/>
      <c r="E54" s="199"/>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102"/>
      <c r="C55" s="1"/>
      <c r="D55" s="1"/>
      <c r="E55" s="200"/>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02"/>
      <c r="C56" s="1"/>
      <c r="D56" s="1"/>
      <c r="E56" s="200"/>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02"/>
      <c r="C57" s="1"/>
      <c r="D57" s="1"/>
      <c r="E57" s="200"/>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102"/>
      <c r="C58" s="1"/>
      <c r="D58" s="1"/>
      <c r="E58" s="200"/>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02"/>
      <c r="C59" s="1"/>
      <c r="D59" s="1"/>
      <c r="E59" s="200"/>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02"/>
      <c r="C60" s="1"/>
      <c r="D60" s="1"/>
      <c r="E60" s="200"/>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02"/>
      <c r="C61" s="1"/>
      <c r="D61" s="1"/>
      <c r="E61" s="200"/>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02"/>
      <c r="C62" s="1"/>
      <c r="D62" s="1"/>
      <c r="E62" s="200"/>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02"/>
      <c r="C63" s="1"/>
      <c r="D63" s="1"/>
      <c r="E63" s="200"/>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02"/>
      <c r="C64" s="1"/>
      <c r="D64" s="1"/>
      <c r="E64" s="200"/>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02"/>
      <c r="C65" s="1"/>
      <c r="D65" s="1"/>
      <c r="E65" s="200"/>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02"/>
      <c r="C66" s="1"/>
      <c r="D66" s="1"/>
      <c r="E66" s="200"/>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02"/>
      <c r="C67" s="1"/>
      <c r="D67" s="1"/>
      <c r="E67" s="200"/>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02"/>
      <c r="C68" s="1"/>
      <c r="D68" s="1"/>
      <c r="E68" s="200"/>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02"/>
      <c r="C69" s="1"/>
      <c r="D69" s="1"/>
      <c r="E69" s="200"/>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02"/>
      <c r="C70" s="1"/>
      <c r="D70" s="1"/>
      <c r="E70" s="200"/>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02"/>
      <c r="C71" s="1"/>
      <c r="D71" s="1"/>
      <c r="E71" s="200"/>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02"/>
      <c r="C72" s="1"/>
      <c r="D72" s="1"/>
      <c r="E72" s="200"/>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02"/>
      <c r="C73" s="1"/>
      <c r="D73" s="1"/>
      <c r="E73" s="200"/>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02"/>
      <c r="C74" s="1"/>
      <c r="D74" s="1"/>
      <c r="E74" s="200"/>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02"/>
      <c r="C75" s="1"/>
      <c r="D75" s="1"/>
      <c r="E75" s="200"/>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02"/>
      <c r="C76" s="1"/>
      <c r="D76" s="1"/>
      <c r="E76" s="200"/>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02"/>
      <c r="C77" s="1"/>
      <c r="D77" s="1"/>
      <c r="E77" s="200"/>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02"/>
      <c r="C78" s="1"/>
      <c r="D78" s="1"/>
      <c r="E78" s="200"/>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02"/>
      <c r="C79" s="1"/>
      <c r="D79" s="1"/>
      <c r="E79" s="200"/>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02"/>
      <c r="C80" s="1"/>
      <c r="D80" s="1"/>
      <c r="E80" s="200"/>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02"/>
      <c r="C81" s="1"/>
      <c r="D81" s="1"/>
      <c r="E81" s="200"/>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02"/>
      <c r="C82" s="1"/>
      <c r="D82" s="1"/>
      <c r="E82" s="200"/>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02"/>
      <c r="C83" s="1"/>
      <c r="D83" s="1"/>
      <c r="E83" s="200"/>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02"/>
      <c r="C84" s="1"/>
      <c r="D84" s="1"/>
      <c r="E84" s="200"/>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02"/>
      <c r="C85" s="1"/>
      <c r="D85" s="1"/>
      <c r="E85" s="200"/>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02"/>
      <c r="C86" s="1"/>
      <c r="D86" s="1"/>
      <c r="E86" s="200"/>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02"/>
      <c r="C87" s="1"/>
      <c r="D87" s="1"/>
      <c r="E87" s="200"/>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02"/>
      <c r="C88" s="1"/>
      <c r="D88" s="1"/>
      <c r="E88" s="200"/>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02"/>
      <c r="C89" s="1"/>
      <c r="D89" s="1"/>
      <c r="E89" s="200"/>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02"/>
      <c r="C90" s="1"/>
      <c r="D90" s="1"/>
      <c r="E90" s="200"/>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02"/>
      <c r="C91" s="1"/>
      <c r="D91" s="1"/>
      <c r="E91" s="200"/>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02"/>
      <c r="C92" s="1"/>
      <c r="D92" s="1"/>
      <c r="E92" s="200"/>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02"/>
      <c r="C93" s="1"/>
      <c r="D93" s="1"/>
      <c r="E93" s="200"/>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02"/>
      <c r="C94" s="1"/>
      <c r="D94" s="1"/>
      <c r="E94" s="200"/>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02"/>
      <c r="C95" s="1"/>
      <c r="D95" s="1"/>
      <c r="E95" s="200"/>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02"/>
      <c r="C96" s="1"/>
      <c r="D96" s="1"/>
      <c r="E96" s="200"/>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02"/>
      <c r="C97" s="1"/>
      <c r="D97" s="1"/>
      <c r="E97" s="200"/>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02"/>
      <c r="C98" s="1"/>
      <c r="D98" s="1"/>
      <c r="E98" s="200"/>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02"/>
      <c r="C99" s="1"/>
      <c r="D99" s="1"/>
      <c r="E99" s="200"/>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02"/>
      <c r="C100" s="1"/>
      <c r="D100" s="1"/>
      <c r="E100" s="200"/>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02"/>
      <c r="C101" s="1"/>
      <c r="D101" s="1"/>
      <c r="E101" s="200"/>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02"/>
      <c r="C102" s="1"/>
      <c r="D102" s="1"/>
      <c r="E102" s="200"/>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02"/>
      <c r="C103" s="1"/>
      <c r="D103" s="1"/>
      <c r="E103" s="200"/>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02"/>
      <c r="C104" s="1"/>
      <c r="D104" s="1"/>
      <c r="E104" s="200"/>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02"/>
      <c r="C105" s="1"/>
      <c r="D105" s="1"/>
      <c r="E105" s="200"/>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02"/>
      <c r="C106" s="1"/>
      <c r="D106" s="1"/>
      <c r="E106" s="200"/>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02"/>
      <c r="C107" s="1"/>
      <c r="D107" s="1"/>
      <c r="E107" s="200"/>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02"/>
      <c r="C108" s="1"/>
      <c r="D108" s="1"/>
      <c r="E108" s="200"/>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02"/>
      <c r="C109" s="1"/>
      <c r="D109" s="1"/>
      <c r="E109" s="200"/>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02"/>
      <c r="C110" s="1"/>
      <c r="D110" s="1"/>
      <c r="E110" s="200"/>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02"/>
      <c r="C111" s="1"/>
      <c r="D111" s="1"/>
      <c r="E111" s="200"/>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02"/>
      <c r="C112" s="1"/>
      <c r="D112" s="1"/>
      <c r="E112" s="200"/>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02"/>
      <c r="C113" s="1"/>
      <c r="D113" s="1"/>
      <c r="E113" s="200"/>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02"/>
      <c r="C114" s="1"/>
      <c r="D114" s="1"/>
      <c r="E114" s="200"/>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02"/>
      <c r="C115" s="1"/>
      <c r="D115" s="1"/>
      <c r="E115" s="200"/>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02"/>
      <c r="C116" s="1"/>
      <c r="D116" s="1"/>
      <c r="E116" s="200"/>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02"/>
      <c r="C117" s="1"/>
      <c r="D117" s="1"/>
      <c r="E117" s="200"/>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02"/>
      <c r="C118" s="1"/>
      <c r="D118" s="1"/>
      <c r="E118" s="200"/>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02"/>
      <c r="C119" s="1"/>
      <c r="D119" s="1"/>
      <c r="E119" s="200"/>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02"/>
      <c r="C120" s="1"/>
      <c r="D120" s="1"/>
      <c r="E120" s="200"/>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02"/>
      <c r="C121" s="1"/>
      <c r="D121" s="1"/>
      <c r="E121" s="200"/>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02"/>
      <c r="C122" s="1"/>
      <c r="D122" s="1"/>
      <c r="E122" s="200"/>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02"/>
      <c r="C123" s="1"/>
      <c r="D123" s="1"/>
      <c r="E123" s="200"/>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02"/>
      <c r="C124" s="1"/>
      <c r="D124" s="1"/>
      <c r="E124" s="200"/>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02"/>
      <c r="C125" s="1"/>
      <c r="D125" s="1"/>
      <c r="E125" s="200"/>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02"/>
      <c r="C126" s="1"/>
      <c r="D126" s="1"/>
      <c r="E126" s="200"/>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02"/>
      <c r="C127" s="1"/>
      <c r="D127" s="1"/>
      <c r="E127" s="200"/>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02"/>
      <c r="C128" s="1"/>
      <c r="D128" s="1"/>
      <c r="E128" s="200"/>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02"/>
      <c r="C129" s="1"/>
      <c r="D129" s="1"/>
      <c r="E129" s="200"/>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02"/>
      <c r="C130" s="1"/>
      <c r="D130" s="1"/>
      <c r="E130" s="200"/>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02"/>
      <c r="C131" s="1"/>
      <c r="D131" s="1"/>
      <c r="E131" s="200"/>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02"/>
      <c r="C132" s="1"/>
      <c r="D132" s="1"/>
      <c r="E132" s="200"/>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02"/>
      <c r="C133" s="1"/>
      <c r="D133" s="1"/>
      <c r="E133" s="200"/>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02"/>
      <c r="C134" s="1"/>
      <c r="D134" s="1"/>
      <c r="E134" s="200"/>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02"/>
      <c r="C135" s="1"/>
      <c r="D135" s="1"/>
      <c r="E135" s="200"/>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02"/>
      <c r="C136" s="1"/>
      <c r="D136" s="1"/>
      <c r="E136" s="200"/>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02"/>
      <c r="C137" s="1"/>
      <c r="D137" s="1"/>
      <c r="E137" s="200"/>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02"/>
      <c r="C138" s="1"/>
      <c r="D138" s="1"/>
      <c r="E138" s="200"/>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02"/>
      <c r="C139" s="1"/>
      <c r="D139" s="1"/>
      <c r="E139" s="200"/>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02"/>
      <c r="C140" s="1"/>
      <c r="D140" s="1"/>
      <c r="E140" s="200"/>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02"/>
      <c r="C141" s="1"/>
      <c r="D141" s="1"/>
      <c r="E141" s="200"/>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02"/>
      <c r="C142" s="1"/>
      <c r="D142" s="1"/>
      <c r="E142" s="200"/>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02"/>
      <c r="C143" s="1"/>
      <c r="D143" s="1"/>
      <c r="E143" s="200"/>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02"/>
      <c r="C144" s="1"/>
      <c r="D144" s="1"/>
      <c r="E144" s="200"/>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02"/>
      <c r="C145" s="1"/>
      <c r="D145" s="1"/>
      <c r="E145" s="200"/>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02"/>
      <c r="C146" s="1"/>
      <c r="D146" s="1"/>
      <c r="E146" s="200"/>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02"/>
      <c r="C147" s="1"/>
      <c r="D147" s="1"/>
      <c r="E147" s="200"/>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02"/>
      <c r="C148" s="1"/>
      <c r="D148" s="1"/>
      <c r="E148" s="200"/>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02"/>
      <c r="C149" s="1"/>
      <c r="D149" s="1"/>
      <c r="E149" s="200"/>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02"/>
      <c r="C150" s="1"/>
      <c r="D150" s="1"/>
      <c r="E150" s="200"/>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02"/>
      <c r="C151" s="1"/>
      <c r="D151" s="1"/>
      <c r="E151" s="200"/>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02"/>
      <c r="C152" s="1"/>
      <c r="D152" s="1"/>
      <c r="E152" s="200"/>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02"/>
      <c r="C153" s="1"/>
      <c r="D153" s="1"/>
      <c r="E153" s="200"/>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02"/>
      <c r="C154" s="1"/>
      <c r="D154" s="1"/>
      <c r="E154" s="200"/>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02"/>
      <c r="C155" s="1"/>
      <c r="D155" s="1"/>
      <c r="E155" s="200"/>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02"/>
      <c r="C156" s="1"/>
      <c r="D156" s="1"/>
      <c r="E156" s="200"/>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02"/>
      <c r="C157" s="1"/>
      <c r="D157" s="1"/>
      <c r="E157" s="200"/>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02"/>
      <c r="C158" s="1"/>
      <c r="D158" s="1"/>
      <c r="E158" s="200"/>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02"/>
      <c r="C159" s="1"/>
      <c r="D159" s="1"/>
      <c r="E159" s="200"/>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02"/>
      <c r="C160" s="1"/>
      <c r="D160" s="1"/>
      <c r="E160" s="200"/>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02"/>
      <c r="C161" s="1"/>
      <c r="D161" s="1"/>
      <c r="E161" s="200"/>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02"/>
      <c r="C162" s="1"/>
      <c r="D162" s="1"/>
      <c r="E162" s="200"/>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02"/>
      <c r="C163" s="1"/>
      <c r="D163" s="1"/>
      <c r="E163" s="200"/>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02"/>
      <c r="C164" s="1"/>
      <c r="D164" s="1"/>
      <c r="E164" s="200"/>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02"/>
      <c r="C165" s="1"/>
      <c r="D165" s="1"/>
      <c r="E165" s="200"/>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02"/>
      <c r="C166" s="1"/>
      <c r="D166" s="1"/>
      <c r="E166" s="200"/>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02"/>
      <c r="C167" s="1"/>
      <c r="D167" s="1"/>
      <c r="E167" s="200"/>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02"/>
      <c r="C168" s="1"/>
      <c r="D168" s="1"/>
      <c r="E168" s="200"/>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02"/>
      <c r="C169" s="1"/>
      <c r="D169" s="1"/>
      <c r="E169" s="200"/>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02"/>
      <c r="C170" s="1"/>
      <c r="D170" s="1"/>
      <c r="E170" s="200"/>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02"/>
      <c r="C171" s="1"/>
      <c r="D171" s="1"/>
      <c r="E171" s="200"/>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02"/>
      <c r="C172" s="1"/>
      <c r="D172" s="1"/>
      <c r="E172" s="200"/>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02"/>
      <c r="C173" s="1"/>
      <c r="D173" s="1"/>
      <c r="E173" s="200"/>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02"/>
      <c r="C174" s="1"/>
      <c r="D174" s="1"/>
      <c r="E174" s="200"/>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02"/>
      <c r="C175" s="1"/>
      <c r="D175" s="1"/>
      <c r="E175" s="200"/>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02"/>
      <c r="C176" s="1"/>
      <c r="D176" s="1"/>
      <c r="E176" s="200"/>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02"/>
      <c r="C177" s="1"/>
      <c r="D177" s="1"/>
      <c r="E177" s="200"/>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02"/>
      <c r="C178" s="1"/>
      <c r="D178" s="1"/>
      <c r="E178" s="200"/>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02"/>
      <c r="C179" s="1"/>
      <c r="D179" s="1"/>
      <c r="E179" s="200"/>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02"/>
      <c r="C180" s="1"/>
      <c r="D180" s="1"/>
      <c r="E180" s="200"/>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02"/>
      <c r="C181" s="1"/>
      <c r="D181" s="1"/>
      <c r="E181" s="200"/>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02"/>
      <c r="C182" s="1"/>
      <c r="D182" s="1"/>
      <c r="E182" s="200"/>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02"/>
      <c r="C183" s="1"/>
      <c r="D183" s="1"/>
      <c r="E183" s="200"/>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02"/>
      <c r="C184" s="1"/>
      <c r="D184" s="1"/>
      <c r="E184" s="200"/>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02"/>
      <c r="C185" s="1"/>
      <c r="D185" s="1"/>
      <c r="E185" s="200"/>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02"/>
      <c r="C186" s="1"/>
      <c r="D186" s="1"/>
      <c r="E186" s="200"/>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02"/>
      <c r="C187" s="1"/>
      <c r="D187" s="1"/>
      <c r="E187" s="200"/>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02"/>
      <c r="C188" s="1"/>
      <c r="D188" s="1"/>
      <c r="E188" s="200"/>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02"/>
      <c r="C189" s="1"/>
      <c r="D189" s="1"/>
      <c r="E189" s="200"/>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02"/>
      <c r="C190" s="1"/>
      <c r="D190" s="1"/>
      <c r="E190" s="200"/>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02"/>
      <c r="C191" s="1"/>
      <c r="D191" s="1"/>
      <c r="E191" s="200"/>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02"/>
      <c r="C192" s="1"/>
      <c r="D192" s="1"/>
      <c r="E192" s="200"/>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02"/>
      <c r="C193" s="1"/>
      <c r="D193" s="1"/>
      <c r="E193" s="200"/>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02"/>
      <c r="C194" s="1"/>
      <c r="D194" s="1"/>
      <c r="E194" s="200"/>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02"/>
      <c r="C195" s="1"/>
      <c r="D195" s="1"/>
      <c r="E195" s="200"/>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02"/>
      <c r="C196" s="1"/>
      <c r="D196" s="1"/>
      <c r="E196" s="200"/>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02"/>
      <c r="C197" s="1"/>
      <c r="D197" s="1"/>
      <c r="E197" s="200"/>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02"/>
      <c r="C198" s="1"/>
      <c r="D198" s="1"/>
      <c r="E198" s="200"/>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02"/>
      <c r="C199" s="1"/>
      <c r="D199" s="1"/>
      <c r="E199" s="200"/>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02"/>
      <c r="C200" s="1"/>
      <c r="D200" s="1"/>
      <c r="E200" s="200"/>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02"/>
      <c r="C201" s="1"/>
      <c r="D201" s="1"/>
      <c r="E201" s="200"/>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02"/>
      <c r="C202" s="1"/>
      <c r="D202" s="1"/>
      <c r="E202" s="200"/>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02"/>
      <c r="C203" s="1"/>
      <c r="D203" s="1"/>
      <c r="E203" s="200"/>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02"/>
      <c r="C204" s="1"/>
      <c r="D204" s="1"/>
      <c r="E204" s="200"/>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02"/>
      <c r="C205" s="1"/>
      <c r="D205" s="1"/>
      <c r="E205" s="200"/>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02"/>
      <c r="C206" s="1"/>
      <c r="D206" s="1"/>
      <c r="E206" s="200"/>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02"/>
      <c r="C207" s="1"/>
      <c r="D207" s="1"/>
      <c r="E207" s="200"/>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02"/>
      <c r="C208" s="1"/>
      <c r="D208" s="1"/>
      <c r="E208" s="200"/>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02"/>
      <c r="C209" s="1"/>
      <c r="D209" s="1"/>
      <c r="E209" s="200"/>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02"/>
      <c r="C210" s="1"/>
      <c r="D210" s="1"/>
      <c r="E210" s="200"/>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02"/>
      <c r="C211" s="1"/>
      <c r="D211" s="1"/>
      <c r="E211" s="200"/>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02"/>
      <c r="C212" s="1"/>
      <c r="D212" s="1"/>
      <c r="E212" s="200"/>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02"/>
      <c r="C213" s="1"/>
      <c r="D213" s="1"/>
      <c r="E213" s="200"/>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02"/>
      <c r="C214" s="1"/>
      <c r="D214" s="1"/>
      <c r="E214" s="200"/>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02"/>
      <c r="C215" s="1"/>
      <c r="D215" s="1"/>
      <c r="E215" s="200"/>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02"/>
      <c r="C216" s="1"/>
      <c r="D216" s="1"/>
      <c r="E216" s="200"/>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02"/>
      <c r="C217" s="1"/>
      <c r="D217" s="1"/>
      <c r="E217" s="200"/>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02"/>
      <c r="C218" s="1"/>
      <c r="D218" s="1"/>
      <c r="E218" s="200"/>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02"/>
      <c r="C219" s="1"/>
      <c r="D219" s="1"/>
      <c r="E219" s="200"/>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02"/>
      <c r="C220" s="1"/>
      <c r="D220" s="1"/>
      <c r="E220" s="200"/>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02"/>
      <c r="C221" s="1"/>
      <c r="D221" s="1"/>
      <c r="E221" s="200"/>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02"/>
      <c r="C222" s="1"/>
      <c r="D222" s="1"/>
      <c r="E222" s="200"/>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02"/>
      <c r="C223" s="1"/>
      <c r="D223" s="1"/>
      <c r="E223" s="200"/>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02"/>
      <c r="C224" s="1"/>
      <c r="D224" s="1"/>
      <c r="E224" s="200"/>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02"/>
      <c r="C225" s="1"/>
      <c r="D225" s="1"/>
      <c r="E225" s="200"/>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02"/>
      <c r="C226" s="1"/>
      <c r="D226" s="1"/>
      <c r="E226" s="200"/>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02"/>
      <c r="C227" s="1"/>
      <c r="D227" s="1"/>
      <c r="E227" s="200"/>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02"/>
      <c r="C228" s="1"/>
      <c r="D228" s="1"/>
      <c r="E228" s="200"/>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02"/>
      <c r="C229" s="1"/>
      <c r="D229" s="1"/>
      <c r="E229" s="200"/>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02"/>
      <c r="C230" s="1"/>
      <c r="D230" s="1"/>
      <c r="E230" s="200"/>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02"/>
      <c r="C231" s="1"/>
      <c r="D231" s="1"/>
      <c r="E231" s="200"/>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02"/>
      <c r="C232" s="1"/>
      <c r="D232" s="1"/>
      <c r="E232" s="200"/>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02"/>
      <c r="C233" s="1"/>
      <c r="D233" s="1"/>
      <c r="E233" s="200"/>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02"/>
      <c r="C234" s="1"/>
      <c r="D234" s="1"/>
      <c r="E234" s="200"/>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02"/>
      <c r="C235" s="1"/>
      <c r="D235" s="1"/>
      <c r="E235" s="200"/>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02"/>
      <c r="C236" s="1"/>
      <c r="D236" s="1"/>
      <c r="E236" s="200"/>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02"/>
      <c r="C237" s="1"/>
      <c r="D237" s="1"/>
      <c r="E237" s="200"/>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02"/>
      <c r="C238" s="1"/>
      <c r="D238" s="1"/>
      <c r="E238" s="200"/>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02"/>
      <c r="C239" s="1"/>
      <c r="D239" s="1"/>
      <c r="E239" s="200"/>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02"/>
      <c r="C240" s="1"/>
      <c r="D240" s="1"/>
      <c r="E240" s="200"/>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02"/>
      <c r="C241" s="1"/>
      <c r="D241" s="1"/>
      <c r="E241" s="200"/>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02"/>
      <c r="C242" s="1"/>
      <c r="D242" s="1"/>
      <c r="E242" s="200"/>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02"/>
      <c r="C243" s="1"/>
      <c r="D243" s="1"/>
      <c r="E243" s="200"/>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02"/>
      <c r="C244" s="1"/>
      <c r="D244" s="1"/>
      <c r="E244" s="200"/>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02"/>
      <c r="C245" s="1"/>
      <c r="D245" s="1"/>
      <c r="E245" s="200"/>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02"/>
      <c r="C246" s="1"/>
      <c r="D246" s="1"/>
      <c r="E246" s="200"/>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02"/>
      <c r="C247" s="1"/>
      <c r="D247" s="1"/>
      <c r="E247" s="200"/>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02"/>
      <c r="C248" s="1"/>
      <c r="D248" s="1"/>
      <c r="E248" s="200"/>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02"/>
      <c r="C249" s="1"/>
      <c r="D249" s="1"/>
      <c r="E249" s="200"/>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02"/>
      <c r="C250" s="1"/>
      <c r="D250" s="1"/>
      <c r="E250" s="200"/>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02"/>
      <c r="C251" s="1"/>
      <c r="D251" s="1"/>
      <c r="E251" s="200"/>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02"/>
      <c r="C252" s="1"/>
      <c r="D252" s="1"/>
      <c r="E252" s="200"/>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02"/>
      <c r="C253" s="1"/>
      <c r="D253" s="1"/>
      <c r="E253" s="200"/>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02"/>
      <c r="C254" s="1"/>
      <c r="D254" s="1"/>
      <c r="E254" s="200"/>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02"/>
      <c r="C255" s="1"/>
      <c r="D255" s="1"/>
      <c r="E255" s="200"/>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02"/>
      <c r="C256" s="1"/>
      <c r="D256" s="1"/>
      <c r="E256" s="200"/>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02"/>
      <c r="C257" s="1"/>
      <c r="D257" s="1"/>
      <c r="E257" s="200"/>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02"/>
      <c r="C258" s="1"/>
      <c r="D258" s="1"/>
      <c r="E258" s="200"/>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02"/>
      <c r="C259" s="1"/>
      <c r="D259" s="1"/>
      <c r="E259" s="200"/>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02"/>
      <c r="C260" s="1"/>
      <c r="D260" s="1"/>
      <c r="E260" s="200"/>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02"/>
      <c r="C261" s="1"/>
      <c r="D261" s="1"/>
      <c r="E261" s="200"/>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02"/>
      <c r="C262" s="1"/>
      <c r="D262" s="1"/>
      <c r="E262" s="200"/>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02"/>
      <c r="C263" s="1"/>
      <c r="D263" s="1"/>
      <c r="E263" s="200"/>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02"/>
      <c r="C264" s="1"/>
      <c r="D264" s="1"/>
      <c r="E264" s="200"/>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02"/>
      <c r="C265" s="1"/>
      <c r="D265" s="1"/>
      <c r="E265" s="200"/>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02"/>
      <c r="C266" s="1"/>
      <c r="D266" s="1"/>
      <c r="E266" s="200"/>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02"/>
      <c r="C267" s="1"/>
      <c r="D267" s="1"/>
      <c r="E267" s="200"/>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02"/>
      <c r="C268" s="1"/>
      <c r="D268" s="1"/>
      <c r="E268" s="200"/>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02"/>
      <c r="C269" s="1"/>
      <c r="D269" s="1"/>
      <c r="E269" s="200"/>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02"/>
      <c r="C270" s="1"/>
      <c r="D270" s="1"/>
      <c r="E270" s="200"/>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02"/>
      <c r="C271" s="1"/>
      <c r="D271" s="1"/>
      <c r="E271" s="200"/>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02"/>
      <c r="C272" s="1"/>
      <c r="D272" s="1"/>
      <c r="E272" s="200"/>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02"/>
      <c r="C273" s="1"/>
      <c r="D273" s="1"/>
      <c r="E273" s="200"/>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02"/>
      <c r="C274" s="1"/>
      <c r="D274" s="1"/>
      <c r="E274" s="200"/>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02"/>
      <c r="C275" s="1"/>
      <c r="D275" s="1"/>
      <c r="E275" s="200"/>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02"/>
      <c r="C276" s="1"/>
      <c r="D276" s="1"/>
      <c r="E276" s="200"/>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02"/>
      <c r="C277" s="1"/>
      <c r="D277" s="1"/>
      <c r="E277" s="200"/>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02"/>
      <c r="C278" s="1"/>
      <c r="D278" s="1"/>
      <c r="E278" s="200"/>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02"/>
      <c r="C279" s="1"/>
      <c r="D279" s="1"/>
      <c r="E279" s="200"/>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02"/>
      <c r="C280" s="1"/>
      <c r="D280" s="1"/>
      <c r="E280" s="200"/>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02"/>
      <c r="C281" s="1"/>
      <c r="D281" s="1"/>
      <c r="E281" s="200"/>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02"/>
      <c r="C282" s="1"/>
      <c r="D282" s="1"/>
      <c r="E282" s="200"/>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02"/>
      <c r="C283" s="1"/>
      <c r="D283" s="1"/>
      <c r="E283" s="200"/>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02"/>
      <c r="C284" s="1"/>
      <c r="D284" s="1"/>
      <c r="E284" s="200"/>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02"/>
      <c r="C285" s="1"/>
      <c r="D285" s="1"/>
      <c r="E285" s="200"/>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02"/>
      <c r="C286" s="1"/>
      <c r="D286" s="1"/>
      <c r="E286" s="200"/>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02"/>
      <c r="C287" s="1"/>
      <c r="D287" s="1"/>
      <c r="E287" s="200"/>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02"/>
      <c r="C288" s="1"/>
      <c r="D288" s="1"/>
      <c r="E288" s="200"/>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02"/>
      <c r="C289" s="1"/>
      <c r="D289" s="1"/>
      <c r="E289" s="200"/>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02"/>
      <c r="C290" s="1"/>
      <c r="D290" s="1"/>
      <c r="E290" s="200"/>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02"/>
      <c r="C291" s="1"/>
      <c r="D291" s="1"/>
      <c r="E291" s="200"/>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02"/>
      <c r="C292" s="1"/>
      <c r="D292" s="1"/>
      <c r="E292" s="200"/>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02"/>
      <c r="C293" s="1"/>
      <c r="D293" s="1"/>
      <c r="E293" s="200"/>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02"/>
      <c r="C294" s="1"/>
      <c r="D294" s="1"/>
      <c r="E294" s="200"/>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02"/>
      <c r="C295" s="1"/>
      <c r="D295" s="1"/>
      <c r="E295" s="200"/>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02"/>
      <c r="C296" s="1"/>
      <c r="D296" s="1"/>
      <c r="E296" s="200"/>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02"/>
      <c r="C297" s="1"/>
      <c r="D297" s="1"/>
      <c r="E297" s="200"/>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02"/>
      <c r="C298" s="1"/>
      <c r="D298" s="1"/>
      <c r="E298" s="200"/>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02"/>
      <c r="C299" s="1"/>
      <c r="D299" s="1"/>
      <c r="E299" s="200"/>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02"/>
      <c r="C300" s="1"/>
      <c r="D300" s="1"/>
      <c r="E300" s="200"/>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02"/>
      <c r="C301" s="1"/>
      <c r="D301" s="1"/>
      <c r="E301" s="200"/>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02"/>
      <c r="C302" s="1"/>
      <c r="D302" s="1"/>
      <c r="E302" s="200"/>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02"/>
      <c r="C303" s="1"/>
      <c r="D303" s="1"/>
      <c r="E303" s="200"/>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02"/>
      <c r="C304" s="1"/>
      <c r="D304" s="1"/>
      <c r="E304" s="200"/>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02"/>
      <c r="C305" s="1"/>
      <c r="D305" s="1"/>
      <c r="E305" s="200"/>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02"/>
      <c r="C306" s="1"/>
      <c r="D306" s="1"/>
      <c r="E306" s="200"/>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02"/>
      <c r="C307" s="1"/>
      <c r="D307" s="1"/>
      <c r="E307" s="200"/>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02"/>
      <c r="C308" s="1"/>
      <c r="D308" s="1"/>
      <c r="E308" s="200"/>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02"/>
      <c r="C309" s="1"/>
      <c r="D309" s="1"/>
      <c r="E309" s="200"/>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02"/>
      <c r="C310" s="1"/>
      <c r="D310" s="1"/>
      <c r="E310" s="200"/>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02"/>
      <c r="C311" s="1"/>
      <c r="D311" s="1"/>
      <c r="E311" s="200"/>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02"/>
      <c r="C312" s="1"/>
      <c r="D312" s="1"/>
      <c r="E312" s="200"/>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02"/>
      <c r="C313" s="1"/>
      <c r="D313" s="1"/>
      <c r="E313" s="200"/>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02"/>
      <c r="C314" s="1"/>
      <c r="D314" s="1"/>
      <c r="E314" s="200"/>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02"/>
      <c r="C315" s="1"/>
      <c r="D315" s="1"/>
      <c r="E315" s="200"/>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02"/>
      <c r="C316" s="1"/>
      <c r="D316" s="1"/>
      <c r="E316" s="200"/>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02"/>
      <c r="C317" s="1"/>
      <c r="D317" s="1"/>
      <c r="E317" s="200"/>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02"/>
      <c r="C318" s="1"/>
      <c r="D318" s="1"/>
      <c r="E318" s="200"/>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02"/>
      <c r="C319" s="1"/>
      <c r="D319" s="1"/>
      <c r="E319" s="200"/>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02"/>
      <c r="C320" s="1"/>
      <c r="D320" s="1"/>
      <c r="E320" s="200"/>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02"/>
      <c r="C321" s="1"/>
      <c r="D321" s="1"/>
      <c r="E321" s="200"/>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02"/>
      <c r="C322" s="1"/>
      <c r="D322" s="1"/>
      <c r="E322" s="200"/>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02"/>
      <c r="C323" s="1"/>
      <c r="D323" s="1"/>
      <c r="E323" s="200"/>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02"/>
      <c r="C324" s="1"/>
      <c r="D324" s="1"/>
      <c r="E324" s="200"/>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02"/>
      <c r="C325" s="1"/>
      <c r="D325" s="1"/>
      <c r="E325" s="200"/>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02"/>
      <c r="C326" s="1"/>
      <c r="D326" s="1"/>
      <c r="E326" s="200"/>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02"/>
      <c r="C327" s="1"/>
      <c r="D327" s="1"/>
      <c r="E327" s="200"/>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02"/>
      <c r="C328" s="1"/>
      <c r="D328" s="1"/>
      <c r="E328" s="200"/>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02"/>
      <c r="C329" s="1"/>
      <c r="D329" s="1"/>
      <c r="E329" s="200"/>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02"/>
      <c r="C330" s="1"/>
      <c r="D330" s="1"/>
      <c r="E330" s="200"/>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02"/>
      <c r="C331" s="1"/>
      <c r="D331" s="1"/>
      <c r="E331" s="200"/>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02"/>
      <c r="C332" s="1"/>
      <c r="D332" s="1"/>
      <c r="E332" s="200"/>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02"/>
      <c r="C333" s="1"/>
      <c r="D333" s="1"/>
      <c r="E333" s="200"/>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02"/>
      <c r="C334" s="1"/>
      <c r="D334" s="1"/>
      <c r="E334" s="200"/>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02"/>
      <c r="C335" s="1"/>
      <c r="D335" s="1"/>
      <c r="E335" s="200"/>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02"/>
      <c r="C336" s="1"/>
      <c r="D336" s="1"/>
      <c r="E336" s="200"/>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02"/>
      <c r="C337" s="1"/>
      <c r="D337" s="1"/>
      <c r="E337" s="200"/>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02"/>
      <c r="C338" s="1"/>
      <c r="D338" s="1"/>
      <c r="E338" s="200"/>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02"/>
      <c r="C339" s="1"/>
      <c r="D339" s="1"/>
      <c r="E339" s="200"/>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02"/>
      <c r="C340" s="1"/>
      <c r="D340" s="1"/>
      <c r="E340" s="200"/>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02"/>
      <c r="C341" s="1"/>
      <c r="D341" s="1"/>
      <c r="E341" s="200"/>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02"/>
      <c r="C342" s="1"/>
      <c r="D342" s="1"/>
      <c r="E342" s="200"/>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02"/>
      <c r="C343" s="1"/>
      <c r="D343" s="1"/>
      <c r="E343" s="200"/>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02"/>
      <c r="C344" s="1"/>
      <c r="D344" s="1"/>
      <c r="E344" s="200"/>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02"/>
      <c r="C345" s="1"/>
      <c r="D345" s="1"/>
      <c r="E345" s="200"/>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02"/>
      <c r="C346" s="1"/>
      <c r="D346" s="1"/>
      <c r="E346" s="200"/>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02"/>
      <c r="C347" s="1"/>
      <c r="D347" s="1"/>
      <c r="E347" s="200"/>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02"/>
      <c r="C348" s="1"/>
      <c r="D348" s="1"/>
      <c r="E348" s="200"/>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02"/>
      <c r="C349" s="1"/>
      <c r="D349" s="1"/>
      <c r="E349" s="200"/>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02"/>
      <c r="C350" s="1"/>
      <c r="D350" s="1"/>
      <c r="E350" s="200"/>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02"/>
      <c r="C351" s="1"/>
      <c r="D351" s="1"/>
      <c r="E351" s="200"/>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02"/>
      <c r="C352" s="1"/>
      <c r="D352" s="1"/>
      <c r="E352" s="200"/>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02"/>
      <c r="C353" s="1"/>
      <c r="D353" s="1"/>
      <c r="E353" s="200"/>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02"/>
      <c r="C354" s="1"/>
      <c r="D354" s="1"/>
      <c r="E354" s="200"/>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02"/>
      <c r="C355" s="1"/>
      <c r="D355" s="1"/>
      <c r="E355" s="200"/>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02"/>
      <c r="C356" s="1"/>
      <c r="D356" s="1"/>
      <c r="E356" s="200"/>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02"/>
      <c r="C357" s="1"/>
      <c r="D357" s="1"/>
      <c r="E357" s="200"/>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02"/>
      <c r="C358" s="1"/>
      <c r="D358" s="1"/>
      <c r="E358" s="200"/>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02"/>
      <c r="C359" s="1"/>
      <c r="D359" s="1"/>
      <c r="E359" s="200"/>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02"/>
      <c r="C360" s="1"/>
      <c r="D360" s="1"/>
      <c r="E360" s="200"/>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02"/>
      <c r="C361" s="1"/>
      <c r="D361" s="1"/>
      <c r="E361" s="200"/>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02"/>
      <c r="C362" s="1"/>
      <c r="D362" s="1"/>
      <c r="E362" s="200"/>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02"/>
      <c r="C363" s="1"/>
      <c r="D363" s="1"/>
      <c r="E363" s="200"/>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02"/>
      <c r="C364" s="1"/>
      <c r="D364" s="1"/>
      <c r="E364" s="200"/>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02"/>
      <c r="C365" s="1"/>
      <c r="D365" s="1"/>
      <c r="E365" s="200"/>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02"/>
      <c r="C366" s="1"/>
      <c r="D366" s="1"/>
      <c r="E366" s="200"/>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02"/>
      <c r="C367" s="1"/>
      <c r="D367" s="1"/>
      <c r="E367" s="200"/>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02"/>
      <c r="C368" s="1"/>
      <c r="D368" s="1"/>
      <c r="E368" s="200"/>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02"/>
      <c r="C369" s="1"/>
      <c r="D369" s="1"/>
      <c r="E369" s="200"/>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02"/>
      <c r="C370" s="1"/>
      <c r="D370" s="1"/>
      <c r="E370" s="200"/>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02"/>
      <c r="C371" s="1"/>
      <c r="D371" s="1"/>
      <c r="E371" s="200"/>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02"/>
      <c r="C372" s="1"/>
      <c r="D372" s="1"/>
      <c r="E372" s="200"/>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02"/>
      <c r="C373" s="1"/>
      <c r="D373" s="1"/>
      <c r="E373" s="200"/>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02"/>
      <c r="C374" s="1"/>
      <c r="D374" s="1"/>
      <c r="E374" s="200"/>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02"/>
      <c r="C375" s="1"/>
      <c r="D375" s="1"/>
      <c r="E375" s="200"/>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02"/>
      <c r="C376" s="1"/>
      <c r="D376" s="1"/>
      <c r="E376" s="200"/>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02"/>
      <c r="C377" s="1"/>
      <c r="D377" s="1"/>
      <c r="E377" s="200"/>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02"/>
      <c r="C378" s="1"/>
      <c r="D378" s="1"/>
      <c r="E378" s="200"/>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02"/>
      <c r="C379" s="1"/>
      <c r="D379" s="1"/>
      <c r="E379" s="200"/>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02"/>
      <c r="C380" s="1"/>
      <c r="D380" s="1"/>
      <c r="E380" s="200"/>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02"/>
      <c r="C381" s="1"/>
      <c r="D381" s="1"/>
      <c r="E381" s="200"/>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02"/>
      <c r="C382" s="1"/>
      <c r="D382" s="1"/>
      <c r="E382" s="200"/>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02"/>
      <c r="C383" s="1"/>
      <c r="D383" s="1"/>
      <c r="E383" s="200"/>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02"/>
      <c r="C384" s="1"/>
      <c r="D384" s="1"/>
      <c r="E384" s="200"/>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02"/>
      <c r="C385" s="1"/>
      <c r="D385" s="1"/>
      <c r="E385" s="200"/>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02"/>
      <c r="C386" s="1"/>
      <c r="D386" s="1"/>
      <c r="E386" s="200"/>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02"/>
      <c r="C387" s="1"/>
      <c r="D387" s="1"/>
      <c r="E387" s="200"/>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02"/>
      <c r="C388" s="1"/>
      <c r="D388" s="1"/>
      <c r="E388" s="200"/>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02"/>
      <c r="C389" s="1"/>
      <c r="D389" s="1"/>
      <c r="E389" s="200"/>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02"/>
      <c r="C390" s="1"/>
      <c r="D390" s="1"/>
      <c r="E390" s="200"/>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02"/>
      <c r="C391" s="1"/>
      <c r="D391" s="1"/>
      <c r="E391" s="200"/>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02"/>
      <c r="C392" s="1"/>
      <c r="D392" s="1"/>
      <c r="E392" s="200"/>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02"/>
      <c r="C393" s="1"/>
      <c r="D393" s="1"/>
      <c r="E393" s="200"/>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02"/>
      <c r="C394" s="1"/>
      <c r="D394" s="1"/>
      <c r="E394" s="200"/>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02"/>
      <c r="C395" s="1"/>
      <c r="D395" s="1"/>
      <c r="E395" s="200"/>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02"/>
      <c r="C396" s="1"/>
      <c r="D396" s="1"/>
      <c r="E396" s="200"/>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02"/>
      <c r="C397" s="1"/>
      <c r="D397" s="1"/>
      <c r="E397" s="200"/>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02"/>
      <c r="C398" s="1"/>
      <c r="D398" s="1"/>
      <c r="E398" s="200"/>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02"/>
      <c r="C399" s="1"/>
      <c r="D399" s="1"/>
      <c r="E399" s="200"/>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02"/>
      <c r="C400" s="1"/>
      <c r="D400" s="1"/>
      <c r="E400" s="200"/>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02"/>
      <c r="C401" s="1"/>
      <c r="D401" s="1"/>
      <c r="E401" s="200"/>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02"/>
      <c r="C402" s="1"/>
      <c r="D402" s="1"/>
      <c r="E402" s="200"/>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02"/>
      <c r="C403" s="1"/>
      <c r="D403" s="1"/>
      <c r="E403" s="200"/>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02"/>
      <c r="C404" s="1"/>
      <c r="D404" s="1"/>
      <c r="E404" s="200"/>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02"/>
      <c r="C405" s="1"/>
      <c r="D405" s="1"/>
      <c r="E405" s="200"/>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02"/>
      <c r="C406" s="1"/>
      <c r="D406" s="1"/>
      <c r="E406" s="200"/>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02"/>
      <c r="C407" s="1"/>
      <c r="D407" s="1"/>
      <c r="E407" s="200"/>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02"/>
      <c r="C408" s="1"/>
      <c r="D408" s="1"/>
      <c r="E408" s="200"/>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02"/>
      <c r="C409" s="1"/>
      <c r="D409" s="1"/>
      <c r="E409" s="200"/>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02"/>
      <c r="C410" s="1"/>
      <c r="D410" s="1"/>
      <c r="E410" s="200"/>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02"/>
      <c r="C411" s="1"/>
      <c r="D411" s="1"/>
      <c r="E411" s="200"/>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02"/>
      <c r="C412" s="1"/>
      <c r="D412" s="1"/>
      <c r="E412" s="200"/>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02"/>
      <c r="C413" s="1"/>
      <c r="D413" s="1"/>
      <c r="E413" s="200"/>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02"/>
      <c r="C414" s="1"/>
      <c r="D414" s="1"/>
      <c r="E414" s="200"/>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02"/>
      <c r="C415" s="1"/>
      <c r="D415" s="1"/>
      <c r="E415" s="200"/>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02"/>
      <c r="C416" s="1"/>
      <c r="D416" s="1"/>
      <c r="E416" s="200"/>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02"/>
      <c r="C417" s="1"/>
      <c r="D417" s="1"/>
      <c r="E417" s="200"/>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02"/>
      <c r="C418" s="1"/>
      <c r="D418" s="1"/>
      <c r="E418" s="200"/>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02"/>
      <c r="C419" s="1"/>
      <c r="D419" s="1"/>
      <c r="E419" s="200"/>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02"/>
      <c r="C420" s="1"/>
      <c r="D420" s="1"/>
      <c r="E420" s="200"/>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02"/>
      <c r="C421" s="1"/>
      <c r="D421" s="1"/>
      <c r="E421" s="200"/>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02"/>
      <c r="C422" s="1"/>
      <c r="D422" s="1"/>
      <c r="E422" s="200"/>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02"/>
      <c r="C423" s="1"/>
      <c r="D423" s="1"/>
      <c r="E423" s="200"/>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02"/>
      <c r="C424" s="1"/>
      <c r="D424" s="1"/>
      <c r="E424" s="200"/>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02"/>
      <c r="C425" s="1"/>
      <c r="D425" s="1"/>
      <c r="E425" s="200"/>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02"/>
      <c r="C426" s="1"/>
      <c r="D426" s="1"/>
      <c r="E426" s="200"/>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02"/>
      <c r="C427" s="1"/>
      <c r="D427" s="1"/>
      <c r="E427" s="200"/>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02"/>
      <c r="C428" s="1"/>
      <c r="D428" s="1"/>
      <c r="E428" s="200"/>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02"/>
      <c r="C429" s="1"/>
      <c r="D429" s="1"/>
      <c r="E429" s="200"/>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02"/>
      <c r="C430" s="1"/>
      <c r="D430" s="1"/>
      <c r="E430" s="200"/>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02"/>
      <c r="C431" s="1"/>
      <c r="D431" s="1"/>
      <c r="E431" s="200"/>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02"/>
      <c r="C432" s="1"/>
      <c r="D432" s="1"/>
      <c r="E432" s="200"/>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02"/>
      <c r="C433" s="1"/>
      <c r="D433" s="1"/>
      <c r="E433" s="200"/>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02"/>
      <c r="C434" s="1"/>
      <c r="D434" s="1"/>
      <c r="E434" s="200"/>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02"/>
      <c r="C435" s="1"/>
      <c r="D435" s="1"/>
      <c r="E435" s="200"/>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02"/>
      <c r="C436" s="1"/>
      <c r="D436" s="1"/>
      <c r="E436" s="200"/>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02"/>
      <c r="C437" s="1"/>
      <c r="D437" s="1"/>
      <c r="E437" s="200"/>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02"/>
      <c r="C438" s="1"/>
      <c r="D438" s="1"/>
      <c r="E438" s="200"/>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02"/>
      <c r="C439" s="1"/>
      <c r="D439" s="1"/>
      <c r="E439" s="200"/>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02"/>
      <c r="C440" s="1"/>
      <c r="D440" s="1"/>
      <c r="E440" s="200"/>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02"/>
      <c r="C441" s="1"/>
      <c r="D441" s="1"/>
      <c r="E441" s="200"/>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02"/>
      <c r="C442" s="1"/>
      <c r="D442" s="1"/>
      <c r="E442" s="200"/>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02"/>
      <c r="C443" s="1"/>
      <c r="D443" s="1"/>
      <c r="E443" s="200"/>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02"/>
      <c r="C444" s="1"/>
      <c r="D444" s="1"/>
      <c r="E444" s="200"/>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02"/>
      <c r="C445" s="1"/>
      <c r="D445" s="1"/>
      <c r="E445" s="200"/>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02"/>
      <c r="C446" s="1"/>
      <c r="D446" s="1"/>
      <c r="E446" s="200"/>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02"/>
      <c r="C447" s="1"/>
      <c r="D447" s="1"/>
      <c r="E447" s="200"/>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02"/>
      <c r="C448" s="1"/>
      <c r="D448" s="1"/>
      <c r="E448" s="200"/>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02"/>
      <c r="C449" s="1"/>
      <c r="D449" s="1"/>
      <c r="E449" s="200"/>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02"/>
      <c r="C450" s="1"/>
      <c r="D450" s="1"/>
      <c r="E450" s="200"/>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02"/>
      <c r="C451" s="1"/>
      <c r="D451" s="1"/>
      <c r="E451" s="200"/>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02"/>
      <c r="C452" s="1"/>
      <c r="D452" s="1"/>
      <c r="E452" s="200"/>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02"/>
      <c r="C453" s="1"/>
      <c r="D453" s="1"/>
      <c r="E453" s="200"/>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02"/>
      <c r="C454" s="1"/>
      <c r="D454" s="1"/>
      <c r="E454" s="200"/>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02"/>
      <c r="C455" s="1"/>
      <c r="D455" s="1"/>
      <c r="E455" s="200"/>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02"/>
      <c r="C456" s="1"/>
      <c r="D456" s="1"/>
      <c r="E456" s="200"/>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02"/>
      <c r="C457" s="1"/>
      <c r="D457" s="1"/>
      <c r="E457" s="200"/>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02"/>
      <c r="C458" s="1"/>
      <c r="D458" s="1"/>
      <c r="E458" s="200"/>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02"/>
      <c r="C459" s="1"/>
      <c r="D459" s="1"/>
      <c r="E459" s="200"/>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02"/>
      <c r="C460" s="1"/>
      <c r="D460" s="1"/>
      <c r="E460" s="200"/>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02"/>
      <c r="C461" s="1"/>
      <c r="D461" s="1"/>
      <c r="E461" s="200"/>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02"/>
      <c r="C462" s="1"/>
      <c r="D462" s="1"/>
      <c r="E462" s="200"/>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02"/>
      <c r="C463" s="1"/>
      <c r="D463" s="1"/>
      <c r="E463" s="200"/>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02"/>
      <c r="C464" s="1"/>
      <c r="D464" s="1"/>
      <c r="E464" s="200"/>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02"/>
      <c r="C465" s="1"/>
      <c r="D465" s="1"/>
      <c r="E465" s="200"/>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02"/>
      <c r="C466" s="1"/>
      <c r="D466" s="1"/>
      <c r="E466" s="200"/>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02"/>
      <c r="C467" s="1"/>
      <c r="D467" s="1"/>
      <c r="E467" s="200"/>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02"/>
      <c r="C468" s="1"/>
      <c r="D468" s="1"/>
      <c r="E468" s="200"/>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02"/>
      <c r="C469" s="1"/>
      <c r="D469" s="1"/>
      <c r="E469" s="200"/>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02"/>
      <c r="C470" s="1"/>
      <c r="D470" s="1"/>
      <c r="E470" s="200"/>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02"/>
      <c r="C471" s="1"/>
      <c r="D471" s="1"/>
      <c r="E471" s="200"/>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02"/>
      <c r="C472" s="1"/>
      <c r="D472" s="1"/>
      <c r="E472" s="200"/>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02"/>
      <c r="C473" s="1"/>
      <c r="D473" s="1"/>
      <c r="E473" s="200"/>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02"/>
      <c r="C474" s="1"/>
      <c r="D474" s="1"/>
      <c r="E474" s="200"/>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02"/>
      <c r="C475" s="1"/>
      <c r="D475" s="1"/>
      <c r="E475" s="200"/>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02"/>
      <c r="C476" s="1"/>
      <c r="D476" s="1"/>
      <c r="E476" s="200"/>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02"/>
      <c r="C477" s="1"/>
      <c r="D477" s="1"/>
      <c r="E477" s="200"/>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02"/>
      <c r="C478" s="1"/>
      <c r="D478" s="1"/>
      <c r="E478" s="200"/>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02"/>
      <c r="C479" s="1"/>
      <c r="D479" s="1"/>
      <c r="E479" s="200"/>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02"/>
      <c r="C480" s="1"/>
      <c r="D480" s="1"/>
      <c r="E480" s="200"/>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02"/>
      <c r="C481" s="1"/>
      <c r="D481" s="1"/>
      <c r="E481" s="200"/>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02"/>
      <c r="C482" s="1"/>
      <c r="D482" s="1"/>
      <c r="E482" s="200"/>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02"/>
      <c r="C483" s="1"/>
      <c r="D483" s="1"/>
      <c r="E483" s="200"/>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02"/>
      <c r="C484" s="1"/>
      <c r="D484" s="1"/>
      <c r="E484" s="200"/>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02"/>
      <c r="C485" s="1"/>
      <c r="D485" s="1"/>
      <c r="E485" s="200"/>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02"/>
      <c r="C486" s="1"/>
      <c r="D486" s="1"/>
      <c r="E486" s="200"/>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02"/>
      <c r="C487" s="1"/>
      <c r="D487" s="1"/>
      <c r="E487" s="200"/>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02"/>
      <c r="C488" s="1"/>
      <c r="D488" s="1"/>
      <c r="E488" s="200"/>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02"/>
      <c r="C489" s="1"/>
      <c r="D489" s="1"/>
      <c r="E489" s="200"/>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02"/>
      <c r="C490" s="1"/>
      <c r="D490" s="1"/>
      <c r="E490" s="200"/>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02"/>
      <c r="C491" s="1"/>
      <c r="D491" s="1"/>
      <c r="E491" s="200"/>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02"/>
      <c r="C492" s="1"/>
      <c r="D492" s="1"/>
      <c r="E492" s="200"/>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02"/>
      <c r="C493" s="1"/>
      <c r="D493" s="1"/>
      <c r="E493" s="200"/>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02"/>
      <c r="C494" s="1"/>
      <c r="D494" s="1"/>
      <c r="E494" s="200"/>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02"/>
      <c r="C495" s="1"/>
      <c r="D495" s="1"/>
      <c r="E495" s="200"/>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02"/>
      <c r="C496" s="1"/>
      <c r="D496" s="1"/>
      <c r="E496" s="200"/>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02"/>
      <c r="C497" s="1"/>
      <c r="D497" s="1"/>
      <c r="E497" s="200"/>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02"/>
      <c r="C498" s="1"/>
      <c r="D498" s="1"/>
      <c r="E498" s="200"/>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02"/>
      <c r="C499" s="1"/>
      <c r="D499" s="1"/>
      <c r="E499" s="200"/>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02"/>
      <c r="C500" s="1"/>
      <c r="D500" s="1"/>
      <c r="E500" s="200"/>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02"/>
      <c r="C501" s="1"/>
      <c r="D501" s="1"/>
      <c r="E501" s="200"/>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02"/>
      <c r="C502" s="1"/>
      <c r="D502" s="1"/>
      <c r="E502" s="200"/>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02"/>
      <c r="C503" s="1"/>
      <c r="D503" s="1"/>
      <c r="E503" s="200"/>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02"/>
      <c r="C504" s="1"/>
      <c r="D504" s="1"/>
      <c r="E504" s="200"/>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02"/>
      <c r="C505" s="1"/>
      <c r="D505" s="1"/>
      <c r="E505" s="200"/>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02"/>
      <c r="C506" s="1"/>
      <c r="D506" s="1"/>
      <c r="E506" s="200"/>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02"/>
      <c r="C507" s="1"/>
      <c r="D507" s="1"/>
      <c r="E507" s="200"/>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02"/>
      <c r="C508" s="1"/>
      <c r="D508" s="1"/>
      <c r="E508" s="200"/>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02"/>
      <c r="C509" s="1"/>
      <c r="D509" s="1"/>
      <c r="E509" s="200"/>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02"/>
      <c r="C510" s="1"/>
      <c r="D510" s="1"/>
      <c r="E510" s="200"/>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02"/>
      <c r="C511" s="1"/>
      <c r="D511" s="1"/>
      <c r="E511" s="200"/>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02"/>
      <c r="C512" s="1"/>
      <c r="D512" s="1"/>
      <c r="E512" s="200"/>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02"/>
      <c r="C513" s="1"/>
      <c r="D513" s="1"/>
      <c r="E513" s="200"/>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02"/>
      <c r="C514" s="1"/>
      <c r="D514" s="1"/>
      <c r="E514" s="200"/>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02"/>
      <c r="C515" s="1"/>
      <c r="D515" s="1"/>
      <c r="E515" s="200"/>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02"/>
      <c r="C516" s="1"/>
      <c r="D516" s="1"/>
      <c r="E516" s="200"/>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02"/>
      <c r="C517" s="1"/>
      <c r="D517" s="1"/>
      <c r="E517" s="200"/>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02"/>
      <c r="C518" s="1"/>
      <c r="D518" s="1"/>
      <c r="E518" s="200"/>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02"/>
      <c r="C519" s="1"/>
      <c r="D519" s="1"/>
      <c r="E519" s="200"/>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02"/>
      <c r="C520" s="1"/>
      <c r="D520" s="1"/>
      <c r="E520" s="200"/>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02"/>
      <c r="C521" s="1"/>
      <c r="D521" s="1"/>
      <c r="E521" s="200"/>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02"/>
      <c r="C522" s="1"/>
      <c r="D522" s="1"/>
      <c r="E522" s="200"/>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02"/>
      <c r="C523" s="1"/>
      <c r="D523" s="1"/>
      <c r="E523" s="200"/>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02"/>
      <c r="C524" s="1"/>
      <c r="D524" s="1"/>
      <c r="E524" s="200"/>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02"/>
      <c r="C525" s="1"/>
      <c r="D525" s="1"/>
      <c r="E525" s="200"/>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02"/>
      <c r="C526" s="1"/>
      <c r="D526" s="1"/>
      <c r="E526" s="200"/>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02"/>
      <c r="C527" s="1"/>
      <c r="D527" s="1"/>
      <c r="E527" s="200"/>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02"/>
      <c r="C528" s="1"/>
      <c r="D528" s="1"/>
      <c r="E528" s="200"/>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02"/>
      <c r="C529" s="1"/>
      <c r="D529" s="1"/>
      <c r="E529" s="200"/>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02"/>
      <c r="C530" s="1"/>
      <c r="D530" s="1"/>
      <c r="E530" s="200"/>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02"/>
      <c r="C531" s="1"/>
      <c r="D531" s="1"/>
      <c r="E531" s="200"/>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02"/>
      <c r="C532" s="1"/>
      <c r="D532" s="1"/>
      <c r="E532" s="200"/>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02"/>
      <c r="C533" s="1"/>
      <c r="D533" s="1"/>
      <c r="E533" s="200"/>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02"/>
      <c r="C534" s="1"/>
      <c r="D534" s="1"/>
      <c r="E534" s="200"/>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02"/>
      <c r="C535" s="1"/>
      <c r="D535" s="1"/>
      <c r="E535" s="200"/>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02"/>
      <c r="C536" s="1"/>
      <c r="D536" s="1"/>
      <c r="E536" s="200"/>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02"/>
      <c r="C537" s="1"/>
      <c r="D537" s="1"/>
      <c r="E537" s="200"/>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02"/>
      <c r="C538" s="1"/>
      <c r="D538" s="1"/>
      <c r="E538" s="200"/>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02"/>
      <c r="C539" s="1"/>
      <c r="D539" s="1"/>
      <c r="E539" s="200"/>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02"/>
      <c r="C540" s="1"/>
      <c r="D540" s="1"/>
      <c r="E540" s="200"/>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02"/>
      <c r="C541" s="1"/>
      <c r="D541" s="1"/>
      <c r="E541" s="200"/>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02"/>
      <c r="C542" s="1"/>
      <c r="D542" s="1"/>
      <c r="E542" s="200"/>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02"/>
      <c r="C543" s="1"/>
      <c r="D543" s="1"/>
      <c r="E543" s="200"/>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02"/>
      <c r="C544" s="1"/>
      <c r="D544" s="1"/>
      <c r="E544" s="200"/>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02"/>
      <c r="C545" s="1"/>
      <c r="D545" s="1"/>
      <c r="E545" s="200"/>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02"/>
      <c r="C546" s="1"/>
      <c r="D546" s="1"/>
      <c r="E546" s="200"/>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02"/>
      <c r="C547" s="1"/>
      <c r="D547" s="1"/>
      <c r="E547" s="200"/>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02"/>
      <c r="C548" s="1"/>
      <c r="D548" s="1"/>
      <c r="E548" s="200"/>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02"/>
      <c r="C549" s="1"/>
      <c r="D549" s="1"/>
      <c r="E549" s="200"/>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02"/>
      <c r="C550" s="1"/>
      <c r="D550" s="1"/>
      <c r="E550" s="200"/>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02"/>
      <c r="C551" s="1"/>
      <c r="D551" s="1"/>
      <c r="E551" s="200"/>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02"/>
      <c r="C552" s="1"/>
      <c r="D552" s="1"/>
      <c r="E552" s="200"/>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02"/>
      <c r="C553" s="1"/>
      <c r="D553" s="1"/>
      <c r="E553" s="200"/>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02"/>
      <c r="C554" s="1"/>
      <c r="D554" s="1"/>
      <c r="E554" s="200"/>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02"/>
      <c r="C555" s="1"/>
      <c r="D555" s="1"/>
      <c r="E555" s="200"/>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02"/>
      <c r="C556" s="1"/>
      <c r="D556" s="1"/>
      <c r="E556" s="200"/>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02"/>
      <c r="C557" s="1"/>
      <c r="D557" s="1"/>
      <c r="E557" s="200"/>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02"/>
      <c r="C558" s="1"/>
      <c r="D558" s="1"/>
      <c r="E558" s="200"/>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02"/>
      <c r="C559" s="1"/>
      <c r="D559" s="1"/>
      <c r="E559" s="200"/>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02"/>
      <c r="C560" s="1"/>
      <c r="D560" s="1"/>
      <c r="E560" s="200"/>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02"/>
      <c r="C561" s="1"/>
      <c r="D561" s="1"/>
      <c r="E561" s="200"/>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02"/>
      <c r="C562" s="1"/>
      <c r="D562" s="1"/>
      <c r="E562" s="200"/>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02"/>
      <c r="C563" s="1"/>
      <c r="D563" s="1"/>
      <c r="E563" s="200"/>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02"/>
      <c r="C564" s="1"/>
      <c r="D564" s="1"/>
      <c r="E564" s="200"/>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02"/>
      <c r="C565" s="1"/>
      <c r="D565" s="1"/>
      <c r="E565" s="200"/>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02"/>
      <c r="C566" s="1"/>
      <c r="D566" s="1"/>
      <c r="E566" s="200"/>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02"/>
      <c r="C567" s="1"/>
      <c r="D567" s="1"/>
      <c r="E567" s="200"/>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02"/>
      <c r="C568" s="1"/>
      <c r="D568" s="1"/>
      <c r="E568" s="200"/>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02"/>
      <c r="C569" s="1"/>
      <c r="D569" s="1"/>
      <c r="E569" s="200"/>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02"/>
      <c r="C570" s="1"/>
      <c r="D570" s="1"/>
      <c r="E570" s="200"/>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02"/>
      <c r="C571" s="1"/>
      <c r="D571" s="1"/>
      <c r="E571" s="200"/>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02"/>
      <c r="C572" s="1"/>
      <c r="D572" s="1"/>
      <c r="E572" s="200"/>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02"/>
      <c r="C573" s="1"/>
      <c r="D573" s="1"/>
      <c r="E573" s="200"/>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02"/>
      <c r="C574" s="1"/>
      <c r="D574" s="1"/>
      <c r="E574" s="200"/>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02"/>
      <c r="C575" s="1"/>
      <c r="D575" s="1"/>
      <c r="E575" s="200"/>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02"/>
      <c r="C576" s="1"/>
      <c r="D576" s="1"/>
      <c r="E576" s="200"/>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02"/>
      <c r="C577" s="1"/>
      <c r="D577" s="1"/>
      <c r="E577" s="200"/>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02"/>
      <c r="C578" s="1"/>
      <c r="D578" s="1"/>
      <c r="E578" s="200"/>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02"/>
      <c r="C579" s="1"/>
      <c r="D579" s="1"/>
      <c r="E579" s="200"/>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02"/>
      <c r="C580" s="1"/>
      <c r="D580" s="1"/>
      <c r="E580" s="200"/>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02"/>
      <c r="C581" s="1"/>
      <c r="D581" s="1"/>
      <c r="E581" s="200"/>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02"/>
      <c r="C582" s="1"/>
      <c r="D582" s="1"/>
      <c r="E582" s="200"/>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02"/>
      <c r="C583" s="1"/>
      <c r="D583" s="1"/>
      <c r="E583" s="200"/>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02"/>
      <c r="C584" s="1"/>
      <c r="D584" s="1"/>
      <c r="E584" s="200"/>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02"/>
      <c r="C585" s="1"/>
      <c r="D585" s="1"/>
      <c r="E585" s="200"/>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02"/>
      <c r="C586" s="1"/>
      <c r="D586" s="1"/>
      <c r="E586" s="200"/>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02"/>
      <c r="C587" s="1"/>
      <c r="D587" s="1"/>
      <c r="E587" s="200"/>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02"/>
      <c r="C588" s="1"/>
      <c r="D588" s="1"/>
      <c r="E588" s="200"/>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02"/>
      <c r="C589" s="1"/>
      <c r="D589" s="1"/>
      <c r="E589" s="200"/>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02"/>
      <c r="C590" s="1"/>
      <c r="D590" s="1"/>
      <c r="E590" s="200"/>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02"/>
      <c r="C591" s="1"/>
      <c r="D591" s="1"/>
      <c r="E591" s="200"/>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02"/>
      <c r="C592" s="1"/>
      <c r="D592" s="1"/>
      <c r="E592" s="200"/>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02"/>
      <c r="C593" s="1"/>
      <c r="D593" s="1"/>
      <c r="E593" s="200"/>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02"/>
      <c r="C594" s="1"/>
      <c r="D594" s="1"/>
      <c r="E594" s="200"/>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02"/>
      <c r="C595" s="1"/>
      <c r="D595" s="1"/>
      <c r="E595" s="200"/>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02"/>
      <c r="C596" s="1"/>
      <c r="D596" s="1"/>
      <c r="E596" s="200"/>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02"/>
      <c r="C597" s="1"/>
      <c r="D597" s="1"/>
      <c r="E597" s="200"/>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02"/>
      <c r="C598" s="1"/>
      <c r="D598" s="1"/>
      <c r="E598" s="200"/>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02"/>
      <c r="C599" s="1"/>
      <c r="D599" s="1"/>
      <c r="E599" s="200"/>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02"/>
      <c r="C600" s="1"/>
      <c r="D600" s="1"/>
      <c r="E600" s="200"/>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02"/>
      <c r="C601" s="1"/>
      <c r="D601" s="1"/>
      <c r="E601" s="200"/>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02"/>
      <c r="C602" s="1"/>
      <c r="D602" s="1"/>
      <c r="E602" s="200"/>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02"/>
      <c r="C603" s="1"/>
      <c r="D603" s="1"/>
      <c r="E603" s="200"/>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02"/>
      <c r="C604" s="1"/>
      <c r="D604" s="1"/>
      <c r="E604" s="200"/>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02"/>
      <c r="C605" s="1"/>
      <c r="D605" s="1"/>
      <c r="E605" s="200"/>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02"/>
      <c r="C606" s="1"/>
      <c r="D606" s="1"/>
      <c r="E606" s="200"/>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02"/>
      <c r="C607" s="1"/>
      <c r="D607" s="1"/>
      <c r="E607" s="200"/>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02"/>
      <c r="C608" s="1"/>
      <c r="D608" s="1"/>
      <c r="E608" s="200"/>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02"/>
      <c r="C609" s="1"/>
      <c r="D609" s="1"/>
      <c r="E609" s="200"/>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02"/>
      <c r="C610" s="1"/>
      <c r="D610" s="1"/>
      <c r="E610" s="200"/>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02"/>
      <c r="C611" s="1"/>
      <c r="D611" s="1"/>
      <c r="E611" s="200"/>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02"/>
      <c r="C612" s="1"/>
      <c r="D612" s="1"/>
      <c r="E612" s="200"/>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02"/>
      <c r="C613" s="1"/>
      <c r="D613" s="1"/>
      <c r="E613" s="200"/>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02"/>
      <c r="C614" s="1"/>
      <c r="D614" s="1"/>
      <c r="E614" s="200"/>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02"/>
      <c r="C615" s="1"/>
      <c r="D615" s="1"/>
      <c r="E615" s="200"/>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02"/>
      <c r="C616" s="1"/>
      <c r="D616" s="1"/>
      <c r="E616" s="200"/>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02"/>
      <c r="C617" s="1"/>
      <c r="D617" s="1"/>
      <c r="E617" s="200"/>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02"/>
      <c r="C618" s="1"/>
      <c r="D618" s="1"/>
      <c r="E618" s="200"/>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02"/>
      <c r="C619" s="1"/>
      <c r="D619" s="1"/>
      <c r="E619" s="200"/>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02"/>
      <c r="C620" s="1"/>
      <c r="D620" s="1"/>
      <c r="E620" s="200"/>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02"/>
      <c r="C621" s="1"/>
      <c r="D621" s="1"/>
      <c r="E621" s="200"/>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02"/>
      <c r="C622" s="1"/>
      <c r="D622" s="1"/>
      <c r="E622" s="200"/>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02"/>
      <c r="C623" s="1"/>
      <c r="D623" s="1"/>
      <c r="E623" s="200"/>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02"/>
      <c r="C624" s="1"/>
      <c r="D624" s="1"/>
      <c r="E624" s="200"/>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02"/>
      <c r="C625" s="1"/>
      <c r="D625" s="1"/>
      <c r="E625" s="200"/>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02"/>
      <c r="C626" s="1"/>
      <c r="D626" s="1"/>
      <c r="E626" s="200"/>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02"/>
      <c r="C627" s="1"/>
      <c r="D627" s="1"/>
      <c r="E627" s="200"/>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02"/>
      <c r="C628" s="1"/>
      <c r="D628" s="1"/>
      <c r="E628" s="200"/>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02"/>
      <c r="C629" s="1"/>
      <c r="D629" s="1"/>
      <c r="E629" s="200"/>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02"/>
      <c r="C630" s="1"/>
      <c r="D630" s="1"/>
      <c r="E630" s="200"/>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02"/>
      <c r="C631" s="1"/>
      <c r="D631" s="1"/>
      <c r="E631" s="200"/>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02"/>
      <c r="C632" s="1"/>
      <c r="D632" s="1"/>
      <c r="E632" s="200"/>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02"/>
      <c r="C633" s="1"/>
      <c r="D633" s="1"/>
      <c r="E633" s="200"/>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02"/>
      <c r="C634" s="1"/>
      <c r="D634" s="1"/>
      <c r="E634" s="200"/>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02"/>
      <c r="C635" s="1"/>
      <c r="D635" s="1"/>
      <c r="E635" s="200"/>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02"/>
      <c r="C636" s="1"/>
      <c r="D636" s="1"/>
      <c r="E636" s="200"/>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02"/>
      <c r="C637" s="1"/>
      <c r="D637" s="1"/>
      <c r="E637" s="200"/>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02"/>
      <c r="C638" s="1"/>
      <c r="D638" s="1"/>
      <c r="E638" s="200"/>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02"/>
      <c r="C639" s="1"/>
      <c r="D639" s="1"/>
      <c r="E639" s="200"/>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02"/>
      <c r="C640" s="1"/>
      <c r="D640" s="1"/>
      <c r="E640" s="200"/>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02"/>
      <c r="C641" s="1"/>
      <c r="D641" s="1"/>
      <c r="E641" s="200"/>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02"/>
      <c r="C642" s="1"/>
      <c r="D642" s="1"/>
      <c r="E642" s="200"/>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02"/>
      <c r="C643" s="1"/>
      <c r="D643" s="1"/>
      <c r="E643" s="200"/>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02"/>
      <c r="C644" s="1"/>
      <c r="D644" s="1"/>
      <c r="E644" s="200"/>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02"/>
      <c r="C645" s="1"/>
      <c r="D645" s="1"/>
      <c r="E645" s="200"/>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02"/>
      <c r="C646" s="1"/>
      <c r="D646" s="1"/>
      <c r="E646" s="200"/>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02"/>
      <c r="C647" s="1"/>
      <c r="D647" s="1"/>
      <c r="E647" s="200"/>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02"/>
      <c r="C648" s="1"/>
      <c r="D648" s="1"/>
      <c r="E648" s="200"/>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02"/>
      <c r="C649" s="1"/>
      <c r="D649" s="1"/>
      <c r="E649" s="200"/>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02"/>
      <c r="C650" s="1"/>
      <c r="D650" s="1"/>
      <c r="E650" s="200"/>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02"/>
      <c r="C651" s="1"/>
      <c r="D651" s="1"/>
      <c r="E651" s="200"/>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02"/>
      <c r="C652" s="1"/>
      <c r="D652" s="1"/>
      <c r="E652" s="200"/>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02"/>
      <c r="C653" s="1"/>
      <c r="D653" s="1"/>
      <c r="E653" s="200"/>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02"/>
      <c r="C654" s="1"/>
      <c r="D654" s="1"/>
      <c r="E654" s="200"/>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02"/>
      <c r="C655" s="1"/>
      <c r="D655" s="1"/>
      <c r="E655" s="200"/>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02"/>
      <c r="C656" s="1"/>
      <c r="D656" s="1"/>
      <c r="E656" s="200"/>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02"/>
      <c r="C657" s="1"/>
      <c r="D657" s="1"/>
      <c r="E657" s="200"/>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02"/>
      <c r="C658" s="1"/>
      <c r="D658" s="1"/>
      <c r="E658" s="200"/>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02"/>
      <c r="C659" s="1"/>
      <c r="D659" s="1"/>
      <c r="E659" s="200"/>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02"/>
      <c r="C660" s="1"/>
      <c r="D660" s="1"/>
      <c r="E660" s="200"/>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02"/>
      <c r="C661" s="1"/>
      <c r="D661" s="1"/>
      <c r="E661" s="200"/>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02"/>
      <c r="C662" s="1"/>
      <c r="D662" s="1"/>
      <c r="E662" s="200"/>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02"/>
      <c r="C663" s="1"/>
      <c r="D663" s="1"/>
      <c r="E663" s="200"/>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02"/>
      <c r="C664" s="1"/>
      <c r="D664" s="1"/>
      <c r="E664" s="200"/>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02"/>
      <c r="C665" s="1"/>
      <c r="D665" s="1"/>
      <c r="E665" s="200"/>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02"/>
      <c r="C666" s="1"/>
      <c r="D666" s="1"/>
      <c r="E666" s="200"/>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02"/>
      <c r="C667" s="1"/>
      <c r="D667" s="1"/>
      <c r="E667" s="200"/>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02"/>
      <c r="C668" s="1"/>
      <c r="D668" s="1"/>
      <c r="E668" s="200"/>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02"/>
      <c r="C669" s="1"/>
      <c r="D669" s="1"/>
      <c r="E669" s="200"/>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02"/>
      <c r="C670" s="1"/>
      <c r="D670" s="1"/>
      <c r="E670" s="200"/>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02"/>
      <c r="C671" s="1"/>
      <c r="D671" s="1"/>
      <c r="E671" s="200"/>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02"/>
      <c r="C672" s="1"/>
      <c r="D672" s="1"/>
      <c r="E672" s="200"/>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02"/>
      <c r="C673" s="1"/>
      <c r="D673" s="1"/>
      <c r="E673" s="200"/>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02"/>
      <c r="C674" s="1"/>
      <c r="D674" s="1"/>
      <c r="E674" s="200"/>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02"/>
      <c r="C675" s="1"/>
      <c r="D675" s="1"/>
      <c r="E675" s="200"/>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02"/>
      <c r="C676" s="1"/>
      <c r="D676" s="1"/>
      <c r="E676" s="200"/>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02"/>
      <c r="C677" s="1"/>
      <c r="D677" s="1"/>
      <c r="E677" s="200"/>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02"/>
      <c r="C678" s="1"/>
      <c r="D678" s="1"/>
      <c r="E678" s="200"/>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02"/>
      <c r="C679" s="1"/>
      <c r="D679" s="1"/>
      <c r="E679" s="200"/>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02"/>
      <c r="C680" s="1"/>
      <c r="D680" s="1"/>
      <c r="E680" s="200"/>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02"/>
      <c r="C681" s="1"/>
      <c r="D681" s="1"/>
      <c r="E681" s="200"/>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02"/>
      <c r="C682" s="1"/>
      <c r="D682" s="1"/>
      <c r="E682" s="200"/>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02"/>
      <c r="C683" s="1"/>
      <c r="D683" s="1"/>
      <c r="E683" s="200"/>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02"/>
      <c r="C684" s="1"/>
      <c r="D684" s="1"/>
      <c r="E684" s="200"/>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02"/>
      <c r="C685" s="1"/>
      <c r="D685" s="1"/>
      <c r="E685" s="200"/>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02"/>
      <c r="C686" s="1"/>
      <c r="D686" s="1"/>
      <c r="E686" s="200"/>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02"/>
      <c r="C687" s="1"/>
      <c r="D687" s="1"/>
      <c r="E687" s="200"/>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02"/>
      <c r="C688" s="1"/>
      <c r="D688" s="1"/>
      <c r="E688" s="200"/>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02"/>
      <c r="C689" s="1"/>
      <c r="D689" s="1"/>
      <c r="E689" s="200"/>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02"/>
      <c r="C690" s="1"/>
      <c r="D690" s="1"/>
      <c r="E690" s="200"/>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02"/>
      <c r="C691" s="1"/>
      <c r="D691" s="1"/>
      <c r="E691" s="200"/>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02"/>
      <c r="C692" s="1"/>
      <c r="D692" s="1"/>
      <c r="E692" s="200"/>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02"/>
      <c r="C693" s="1"/>
      <c r="D693" s="1"/>
      <c r="E693" s="200"/>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02"/>
      <c r="C694" s="1"/>
      <c r="D694" s="1"/>
      <c r="E694" s="200"/>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02"/>
      <c r="C695" s="1"/>
      <c r="D695" s="1"/>
      <c r="E695" s="200"/>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02"/>
      <c r="C696" s="1"/>
      <c r="D696" s="1"/>
      <c r="E696" s="200"/>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02"/>
      <c r="C697" s="1"/>
      <c r="D697" s="1"/>
      <c r="E697" s="200"/>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02"/>
      <c r="C698" s="1"/>
      <c r="D698" s="1"/>
      <c r="E698" s="200"/>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02"/>
      <c r="C699" s="1"/>
      <c r="D699" s="1"/>
      <c r="E699" s="200"/>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02"/>
      <c r="C700" s="1"/>
      <c r="D700" s="1"/>
      <c r="E700" s="200"/>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02"/>
      <c r="C701" s="1"/>
      <c r="D701" s="1"/>
      <c r="E701" s="200"/>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02"/>
      <c r="C702" s="1"/>
      <c r="D702" s="1"/>
      <c r="E702" s="200"/>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02"/>
      <c r="C703" s="1"/>
      <c r="D703" s="1"/>
      <c r="E703" s="200"/>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02"/>
      <c r="C704" s="1"/>
      <c r="D704" s="1"/>
      <c r="E704" s="200"/>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02"/>
      <c r="C705" s="1"/>
      <c r="D705" s="1"/>
      <c r="E705" s="200"/>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02"/>
      <c r="C706" s="1"/>
      <c r="D706" s="1"/>
      <c r="E706" s="200"/>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02"/>
      <c r="C707" s="1"/>
      <c r="D707" s="1"/>
      <c r="E707" s="200"/>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02"/>
      <c r="C708" s="1"/>
      <c r="D708" s="1"/>
      <c r="E708" s="200"/>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02"/>
      <c r="C709" s="1"/>
      <c r="D709" s="1"/>
      <c r="E709" s="200"/>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02"/>
      <c r="C710" s="1"/>
      <c r="D710" s="1"/>
      <c r="E710" s="200"/>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02"/>
      <c r="C711" s="1"/>
      <c r="D711" s="1"/>
      <c r="E711" s="200"/>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02"/>
      <c r="C712" s="1"/>
      <c r="D712" s="1"/>
      <c r="E712" s="200"/>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02"/>
      <c r="C713" s="1"/>
      <c r="D713" s="1"/>
      <c r="E713" s="200"/>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02"/>
      <c r="C714" s="1"/>
      <c r="D714" s="1"/>
      <c r="E714" s="200"/>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02"/>
      <c r="C715" s="1"/>
      <c r="D715" s="1"/>
      <c r="E715" s="200"/>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02"/>
      <c r="C716" s="1"/>
      <c r="D716" s="1"/>
      <c r="E716" s="200"/>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02"/>
      <c r="C717" s="1"/>
      <c r="D717" s="1"/>
      <c r="E717" s="200"/>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02"/>
      <c r="C718" s="1"/>
      <c r="D718" s="1"/>
      <c r="E718" s="200"/>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02"/>
      <c r="C719" s="1"/>
      <c r="D719" s="1"/>
      <c r="E719" s="200"/>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02"/>
      <c r="C720" s="1"/>
      <c r="D720" s="1"/>
      <c r="E720" s="200"/>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02"/>
      <c r="C721" s="1"/>
      <c r="D721" s="1"/>
      <c r="E721" s="200"/>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02"/>
      <c r="C722" s="1"/>
      <c r="D722" s="1"/>
      <c r="E722" s="200"/>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02"/>
      <c r="C723" s="1"/>
      <c r="D723" s="1"/>
      <c r="E723" s="200"/>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02"/>
      <c r="C724" s="1"/>
      <c r="D724" s="1"/>
      <c r="E724" s="200"/>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02"/>
      <c r="C725" s="1"/>
      <c r="D725" s="1"/>
      <c r="E725" s="200"/>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02"/>
      <c r="C726" s="1"/>
      <c r="D726" s="1"/>
      <c r="E726" s="200"/>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02"/>
      <c r="C727" s="1"/>
      <c r="D727" s="1"/>
      <c r="E727" s="200"/>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02"/>
      <c r="C728" s="1"/>
      <c r="D728" s="1"/>
      <c r="E728" s="200"/>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02"/>
      <c r="C729" s="1"/>
      <c r="D729" s="1"/>
      <c r="E729" s="200"/>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02"/>
      <c r="C730" s="1"/>
      <c r="D730" s="1"/>
      <c r="E730" s="200"/>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02"/>
      <c r="C731" s="1"/>
      <c r="D731" s="1"/>
      <c r="E731" s="200"/>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02"/>
      <c r="C732" s="1"/>
      <c r="D732" s="1"/>
      <c r="E732" s="200"/>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02"/>
      <c r="C733" s="1"/>
      <c r="D733" s="1"/>
      <c r="E733" s="200"/>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02"/>
      <c r="C734" s="1"/>
      <c r="D734" s="1"/>
      <c r="E734" s="200"/>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02"/>
      <c r="C735" s="1"/>
      <c r="D735" s="1"/>
      <c r="E735" s="200"/>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02"/>
      <c r="C736" s="1"/>
      <c r="D736" s="1"/>
      <c r="E736" s="200"/>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02"/>
      <c r="C737" s="1"/>
      <c r="D737" s="1"/>
      <c r="E737" s="200"/>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02"/>
      <c r="C738" s="1"/>
      <c r="D738" s="1"/>
      <c r="E738" s="200"/>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02"/>
      <c r="C739" s="1"/>
      <c r="D739" s="1"/>
      <c r="E739" s="200"/>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02"/>
      <c r="C740" s="1"/>
      <c r="D740" s="1"/>
      <c r="E740" s="200"/>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02"/>
      <c r="C741" s="1"/>
      <c r="D741" s="1"/>
      <c r="E741" s="200"/>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02"/>
      <c r="C742" s="1"/>
      <c r="D742" s="1"/>
      <c r="E742" s="200"/>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02"/>
      <c r="C743" s="1"/>
      <c r="D743" s="1"/>
      <c r="E743" s="200"/>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02"/>
      <c r="C744" s="1"/>
      <c r="D744" s="1"/>
      <c r="E744" s="200"/>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02"/>
      <c r="C745" s="1"/>
      <c r="D745" s="1"/>
      <c r="E745" s="200"/>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02"/>
      <c r="C746" s="1"/>
      <c r="D746" s="1"/>
      <c r="E746" s="200"/>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02"/>
      <c r="C747" s="1"/>
      <c r="D747" s="1"/>
      <c r="E747" s="200"/>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02"/>
      <c r="C748" s="1"/>
      <c r="D748" s="1"/>
      <c r="E748" s="200"/>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02"/>
      <c r="C749" s="1"/>
      <c r="D749" s="1"/>
      <c r="E749" s="200"/>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02"/>
      <c r="C750" s="1"/>
      <c r="D750" s="1"/>
      <c r="E750" s="200"/>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02"/>
      <c r="C751" s="1"/>
      <c r="D751" s="1"/>
      <c r="E751" s="200"/>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02"/>
      <c r="C752" s="1"/>
      <c r="D752" s="1"/>
      <c r="E752" s="200"/>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02"/>
      <c r="C753" s="1"/>
      <c r="D753" s="1"/>
      <c r="E753" s="200"/>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02"/>
      <c r="C754" s="1"/>
      <c r="D754" s="1"/>
      <c r="E754" s="200"/>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02"/>
      <c r="C755" s="1"/>
      <c r="D755" s="1"/>
      <c r="E755" s="200"/>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02"/>
      <c r="C756" s="1"/>
      <c r="D756" s="1"/>
      <c r="E756" s="200"/>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02"/>
      <c r="C757" s="1"/>
      <c r="D757" s="1"/>
      <c r="E757" s="200"/>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02"/>
      <c r="C758" s="1"/>
      <c r="D758" s="1"/>
      <c r="E758" s="200"/>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02"/>
      <c r="C759" s="1"/>
      <c r="D759" s="1"/>
      <c r="E759" s="200"/>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02"/>
      <c r="C760" s="1"/>
      <c r="D760" s="1"/>
      <c r="E760" s="200"/>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02"/>
      <c r="C761" s="1"/>
      <c r="D761" s="1"/>
      <c r="E761" s="200"/>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02"/>
      <c r="C762" s="1"/>
      <c r="D762" s="1"/>
      <c r="E762" s="200"/>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02"/>
      <c r="C763" s="1"/>
      <c r="D763" s="1"/>
      <c r="E763" s="200"/>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02"/>
      <c r="C764" s="1"/>
      <c r="D764" s="1"/>
      <c r="E764" s="200"/>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02"/>
      <c r="C765" s="1"/>
      <c r="D765" s="1"/>
      <c r="E765" s="200"/>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02"/>
      <c r="C766" s="1"/>
      <c r="D766" s="1"/>
      <c r="E766" s="200"/>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02"/>
      <c r="C767" s="1"/>
      <c r="D767" s="1"/>
      <c r="E767" s="200"/>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02"/>
      <c r="C768" s="1"/>
      <c r="D768" s="1"/>
      <c r="E768" s="200"/>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02"/>
      <c r="C769" s="1"/>
      <c r="D769" s="1"/>
      <c r="E769" s="200"/>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02"/>
      <c r="C770" s="1"/>
      <c r="D770" s="1"/>
      <c r="E770" s="200"/>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02"/>
      <c r="C771" s="1"/>
      <c r="D771" s="1"/>
      <c r="E771" s="200"/>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02"/>
      <c r="C772" s="1"/>
      <c r="D772" s="1"/>
      <c r="E772" s="200"/>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02"/>
      <c r="C773" s="1"/>
      <c r="D773" s="1"/>
      <c r="E773" s="200"/>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02"/>
      <c r="C774" s="1"/>
      <c r="D774" s="1"/>
      <c r="E774" s="200"/>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02"/>
      <c r="C775" s="1"/>
      <c r="D775" s="1"/>
      <c r="E775" s="200"/>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02"/>
      <c r="C776" s="1"/>
      <c r="D776" s="1"/>
      <c r="E776" s="200"/>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02"/>
      <c r="C777" s="1"/>
      <c r="D777" s="1"/>
      <c r="E777" s="200"/>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02"/>
      <c r="C778" s="1"/>
      <c r="D778" s="1"/>
      <c r="E778" s="200"/>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02"/>
      <c r="C779" s="1"/>
      <c r="D779" s="1"/>
      <c r="E779" s="200"/>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02"/>
      <c r="C780" s="1"/>
      <c r="D780" s="1"/>
      <c r="E780" s="200"/>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02"/>
      <c r="C781" s="1"/>
      <c r="D781" s="1"/>
      <c r="E781" s="200"/>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02"/>
      <c r="C782" s="1"/>
      <c r="D782" s="1"/>
      <c r="E782" s="200"/>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02"/>
      <c r="C783" s="1"/>
      <c r="D783" s="1"/>
      <c r="E783" s="200"/>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02"/>
      <c r="C784" s="1"/>
      <c r="D784" s="1"/>
      <c r="E784" s="200"/>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02"/>
      <c r="C785" s="1"/>
      <c r="D785" s="1"/>
      <c r="E785" s="200"/>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02"/>
      <c r="C786" s="1"/>
      <c r="D786" s="1"/>
      <c r="E786" s="200"/>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02"/>
      <c r="C787" s="1"/>
      <c r="D787" s="1"/>
      <c r="E787" s="200"/>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02"/>
      <c r="C788" s="1"/>
      <c r="D788" s="1"/>
      <c r="E788" s="200"/>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02"/>
      <c r="C789" s="1"/>
      <c r="D789" s="1"/>
      <c r="E789" s="200"/>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02"/>
      <c r="C790" s="1"/>
      <c r="D790" s="1"/>
      <c r="E790" s="200"/>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02"/>
      <c r="C791" s="1"/>
      <c r="D791" s="1"/>
      <c r="E791" s="200"/>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02"/>
      <c r="C792" s="1"/>
      <c r="D792" s="1"/>
      <c r="E792" s="200"/>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02"/>
      <c r="C793" s="1"/>
      <c r="D793" s="1"/>
      <c r="E793" s="200"/>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02"/>
      <c r="C794" s="1"/>
      <c r="D794" s="1"/>
      <c r="E794" s="200"/>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02"/>
      <c r="C795" s="1"/>
      <c r="D795" s="1"/>
      <c r="E795" s="200"/>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02"/>
      <c r="C796" s="1"/>
      <c r="D796" s="1"/>
      <c r="E796" s="200"/>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02"/>
      <c r="C797" s="1"/>
      <c r="D797" s="1"/>
      <c r="E797" s="200"/>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02"/>
      <c r="C798" s="1"/>
      <c r="D798" s="1"/>
      <c r="E798" s="200"/>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02"/>
      <c r="C799" s="1"/>
      <c r="D799" s="1"/>
      <c r="E799" s="200"/>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02"/>
      <c r="C800" s="1"/>
      <c r="D800" s="1"/>
      <c r="E800" s="200"/>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02"/>
      <c r="C801" s="1"/>
      <c r="D801" s="1"/>
      <c r="E801" s="200"/>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02"/>
      <c r="C802" s="1"/>
      <c r="D802" s="1"/>
      <c r="E802" s="200"/>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02"/>
      <c r="C803" s="1"/>
      <c r="D803" s="1"/>
      <c r="E803" s="200"/>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02"/>
      <c r="C804" s="1"/>
      <c r="D804" s="1"/>
      <c r="E804" s="200"/>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02"/>
      <c r="C805" s="1"/>
      <c r="D805" s="1"/>
      <c r="E805" s="200"/>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02"/>
      <c r="C806" s="1"/>
      <c r="D806" s="1"/>
      <c r="E806" s="200"/>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02"/>
      <c r="C807" s="1"/>
      <c r="D807" s="1"/>
      <c r="E807" s="200"/>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02"/>
      <c r="C808" s="1"/>
      <c r="D808" s="1"/>
      <c r="E808" s="200"/>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02"/>
      <c r="C809" s="1"/>
      <c r="D809" s="1"/>
      <c r="E809" s="200"/>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02"/>
      <c r="C810" s="1"/>
      <c r="D810" s="1"/>
      <c r="E810" s="200"/>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02"/>
      <c r="C811" s="1"/>
      <c r="D811" s="1"/>
      <c r="E811" s="200"/>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02"/>
      <c r="C812" s="1"/>
      <c r="D812" s="1"/>
      <c r="E812" s="200"/>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02"/>
      <c r="C813" s="1"/>
      <c r="D813" s="1"/>
      <c r="E813" s="200"/>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02"/>
      <c r="C814" s="1"/>
      <c r="D814" s="1"/>
      <c r="E814" s="200"/>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02"/>
      <c r="C815" s="1"/>
      <c r="D815" s="1"/>
      <c r="E815" s="200"/>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02"/>
      <c r="C816" s="1"/>
      <c r="D816" s="1"/>
      <c r="E816" s="200"/>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02"/>
      <c r="C817" s="1"/>
      <c r="D817" s="1"/>
      <c r="E817" s="200"/>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02"/>
      <c r="C818" s="1"/>
      <c r="D818" s="1"/>
      <c r="E818" s="200"/>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02"/>
      <c r="C819" s="1"/>
      <c r="D819" s="1"/>
      <c r="E819" s="200"/>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02"/>
      <c r="C820" s="1"/>
      <c r="D820" s="1"/>
      <c r="E820" s="200"/>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02"/>
      <c r="C821" s="1"/>
      <c r="D821" s="1"/>
      <c r="E821" s="200"/>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02"/>
      <c r="C822" s="1"/>
      <c r="D822" s="1"/>
      <c r="E822" s="200"/>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02"/>
      <c r="C823" s="1"/>
      <c r="D823" s="1"/>
      <c r="E823" s="200"/>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02"/>
      <c r="C824" s="1"/>
      <c r="D824" s="1"/>
      <c r="E824" s="200"/>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02"/>
      <c r="C825" s="1"/>
      <c r="D825" s="1"/>
      <c r="E825" s="200"/>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02"/>
      <c r="C826" s="1"/>
      <c r="D826" s="1"/>
      <c r="E826" s="200"/>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02"/>
      <c r="C827" s="1"/>
      <c r="D827" s="1"/>
      <c r="E827" s="200"/>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02"/>
      <c r="C828" s="1"/>
      <c r="D828" s="1"/>
      <c r="E828" s="200"/>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02"/>
      <c r="C829" s="1"/>
      <c r="D829" s="1"/>
      <c r="E829" s="200"/>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02"/>
      <c r="C830" s="1"/>
      <c r="D830" s="1"/>
      <c r="E830" s="200"/>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02"/>
      <c r="C831" s="1"/>
      <c r="D831" s="1"/>
      <c r="E831" s="200"/>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02"/>
      <c r="C832" s="1"/>
      <c r="D832" s="1"/>
      <c r="E832" s="200"/>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02"/>
      <c r="C833" s="1"/>
      <c r="D833" s="1"/>
      <c r="E833" s="200"/>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02"/>
      <c r="C834" s="1"/>
      <c r="D834" s="1"/>
      <c r="E834" s="200"/>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02"/>
      <c r="C835" s="1"/>
      <c r="D835" s="1"/>
      <c r="E835" s="200"/>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02"/>
      <c r="C836" s="1"/>
      <c r="D836" s="1"/>
      <c r="E836" s="200"/>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02"/>
      <c r="C837" s="1"/>
      <c r="D837" s="1"/>
      <c r="E837" s="200"/>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02"/>
      <c r="C838" s="1"/>
      <c r="D838" s="1"/>
      <c r="E838" s="200"/>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02"/>
      <c r="C839" s="1"/>
      <c r="D839" s="1"/>
      <c r="E839" s="200"/>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02"/>
      <c r="C840" s="1"/>
      <c r="D840" s="1"/>
      <c r="E840" s="200"/>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02"/>
      <c r="C841" s="1"/>
      <c r="D841" s="1"/>
      <c r="E841" s="200"/>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02"/>
      <c r="C842" s="1"/>
      <c r="D842" s="1"/>
      <c r="E842" s="200"/>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02"/>
      <c r="C843" s="1"/>
      <c r="D843" s="1"/>
      <c r="E843" s="200"/>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02"/>
      <c r="C844" s="1"/>
      <c r="D844" s="1"/>
      <c r="E844" s="200"/>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02"/>
      <c r="C845" s="1"/>
      <c r="D845" s="1"/>
      <c r="E845" s="200"/>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02"/>
      <c r="C846" s="1"/>
      <c r="D846" s="1"/>
      <c r="E846" s="200"/>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02"/>
      <c r="C847" s="1"/>
      <c r="D847" s="1"/>
      <c r="E847" s="200"/>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02"/>
      <c r="C848" s="1"/>
      <c r="D848" s="1"/>
      <c r="E848" s="200"/>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02"/>
      <c r="C849" s="1"/>
      <c r="D849" s="1"/>
      <c r="E849" s="200"/>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02"/>
      <c r="C850" s="1"/>
      <c r="D850" s="1"/>
      <c r="E850" s="200"/>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02"/>
      <c r="C851" s="1"/>
      <c r="D851" s="1"/>
      <c r="E851" s="200"/>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02"/>
      <c r="C852" s="1"/>
      <c r="D852" s="1"/>
      <c r="E852" s="200"/>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02"/>
      <c r="C853" s="1"/>
      <c r="D853" s="1"/>
      <c r="E853" s="200"/>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02"/>
      <c r="C854" s="1"/>
      <c r="D854" s="1"/>
      <c r="E854" s="200"/>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02"/>
      <c r="C855" s="1"/>
      <c r="D855" s="1"/>
      <c r="E855" s="200"/>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02"/>
      <c r="C856" s="1"/>
      <c r="D856" s="1"/>
      <c r="E856" s="200"/>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02"/>
      <c r="C857" s="1"/>
      <c r="D857" s="1"/>
      <c r="E857" s="200"/>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02"/>
      <c r="C858" s="1"/>
      <c r="D858" s="1"/>
      <c r="E858" s="200"/>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02"/>
      <c r="C859" s="1"/>
      <c r="D859" s="1"/>
      <c r="E859" s="200"/>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02"/>
      <c r="C860" s="1"/>
      <c r="D860" s="1"/>
      <c r="E860" s="200"/>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02"/>
      <c r="C861" s="1"/>
      <c r="D861" s="1"/>
      <c r="E861" s="200"/>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02"/>
      <c r="C862" s="1"/>
      <c r="D862" s="1"/>
      <c r="E862" s="200"/>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02"/>
      <c r="C863" s="1"/>
      <c r="D863" s="1"/>
      <c r="E863" s="200"/>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02"/>
      <c r="C864" s="1"/>
      <c r="D864" s="1"/>
      <c r="E864" s="200"/>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02"/>
      <c r="C865" s="1"/>
      <c r="D865" s="1"/>
      <c r="E865" s="200"/>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02"/>
      <c r="C866" s="1"/>
      <c r="D866" s="1"/>
      <c r="E866" s="200"/>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02"/>
      <c r="C867" s="1"/>
      <c r="D867" s="1"/>
      <c r="E867" s="200"/>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02"/>
      <c r="C868" s="1"/>
      <c r="D868" s="1"/>
      <c r="E868" s="200"/>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02"/>
      <c r="C869" s="1"/>
      <c r="D869" s="1"/>
      <c r="E869" s="200"/>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02"/>
      <c r="C870" s="1"/>
      <c r="D870" s="1"/>
      <c r="E870" s="200"/>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02"/>
      <c r="C871" s="1"/>
      <c r="D871" s="1"/>
      <c r="E871" s="200"/>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02"/>
      <c r="C872" s="1"/>
      <c r="D872" s="1"/>
      <c r="E872" s="200"/>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02"/>
      <c r="C873" s="1"/>
      <c r="D873" s="1"/>
      <c r="E873" s="200"/>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02"/>
      <c r="C874" s="1"/>
      <c r="D874" s="1"/>
      <c r="E874" s="200"/>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02"/>
      <c r="C875" s="1"/>
      <c r="D875" s="1"/>
      <c r="E875" s="200"/>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02"/>
      <c r="C876" s="1"/>
      <c r="D876" s="1"/>
      <c r="E876" s="200"/>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02"/>
      <c r="C877" s="1"/>
      <c r="D877" s="1"/>
      <c r="E877" s="200"/>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02"/>
      <c r="C878" s="1"/>
      <c r="D878" s="1"/>
      <c r="E878" s="200"/>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02"/>
      <c r="C879" s="1"/>
      <c r="D879" s="1"/>
      <c r="E879" s="200"/>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02"/>
      <c r="C880" s="1"/>
      <c r="D880" s="1"/>
      <c r="E880" s="200"/>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02"/>
      <c r="C881" s="1"/>
      <c r="D881" s="1"/>
      <c r="E881" s="200"/>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02"/>
      <c r="C882" s="1"/>
      <c r="D882" s="1"/>
      <c r="E882" s="200"/>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02"/>
      <c r="C883" s="1"/>
      <c r="D883" s="1"/>
      <c r="E883" s="200"/>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02"/>
      <c r="C884" s="1"/>
      <c r="D884" s="1"/>
      <c r="E884" s="200"/>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02"/>
      <c r="C885" s="1"/>
      <c r="D885" s="1"/>
      <c r="E885" s="200"/>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02"/>
      <c r="C886" s="1"/>
      <c r="D886" s="1"/>
      <c r="E886" s="200"/>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02"/>
      <c r="C887" s="1"/>
      <c r="D887" s="1"/>
      <c r="E887" s="200"/>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02"/>
      <c r="C888" s="1"/>
      <c r="D888" s="1"/>
      <c r="E888" s="200"/>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02"/>
      <c r="C889" s="1"/>
      <c r="D889" s="1"/>
      <c r="E889" s="200"/>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02"/>
      <c r="C890" s="1"/>
      <c r="D890" s="1"/>
      <c r="E890" s="200"/>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02"/>
      <c r="C891" s="1"/>
      <c r="D891" s="1"/>
      <c r="E891" s="200"/>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02"/>
      <c r="C892" s="1"/>
      <c r="D892" s="1"/>
      <c r="E892" s="200"/>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02"/>
      <c r="C893" s="1"/>
      <c r="D893" s="1"/>
      <c r="E893" s="200"/>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02"/>
      <c r="C894" s="1"/>
      <c r="D894" s="1"/>
      <c r="E894" s="200"/>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02"/>
      <c r="C895" s="1"/>
      <c r="D895" s="1"/>
      <c r="E895" s="200"/>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02"/>
      <c r="C896" s="1"/>
      <c r="D896" s="1"/>
      <c r="E896" s="200"/>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02"/>
      <c r="C897" s="1"/>
      <c r="D897" s="1"/>
      <c r="E897" s="200"/>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02"/>
      <c r="C898" s="1"/>
      <c r="D898" s="1"/>
      <c r="E898" s="200"/>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02"/>
      <c r="C899" s="1"/>
      <c r="D899" s="1"/>
      <c r="E899" s="200"/>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02"/>
      <c r="C900" s="1"/>
      <c r="D900" s="1"/>
      <c r="E900" s="200"/>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02"/>
      <c r="C901" s="1"/>
      <c r="D901" s="1"/>
      <c r="E901" s="200"/>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02"/>
      <c r="C902" s="1"/>
      <c r="D902" s="1"/>
      <c r="E902" s="200"/>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02"/>
      <c r="C903" s="1"/>
      <c r="D903" s="1"/>
      <c r="E903" s="200"/>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02"/>
      <c r="C904" s="1"/>
      <c r="D904" s="1"/>
      <c r="E904" s="200"/>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02"/>
      <c r="C905" s="1"/>
      <c r="D905" s="1"/>
      <c r="E905" s="200"/>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02"/>
      <c r="C906" s="1"/>
      <c r="D906" s="1"/>
      <c r="E906" s="200"/>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02"/>
      <c r="C907" s="1"/>
      <c r="D907" s="1"/>
      <c r="E907" s="200"/>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02"/>
      <c r="C908" s="1"/>
      <c r="D908" s="1"/>
      <c r="E908" s="200"/>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02"/>
      <c r="C909" s="1"/>
      <c r="D909" s="1"/>
      <c r="E909" s="200"/>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02"/>
      <c r="C910" s="1"/>
      <c r="D910" s="1"/>
      <c r="E910" s="200"/>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02"/>
      <c r="C911" s="1"/>
      <c r="D911" s="1"/>
      <c r="E911" s="200"/>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02"/>
      <c r="C912" s="1"/>
      <c r="D912" s="1"/>
      <c r="E912" s="200"/>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02"/>
      <c r="C913" s="1"/>
      <c r="D913" s="1"/>
      <c r="E913" s="200"/>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02"/>
      <c r="C914" s="1"/>
      <c r="D914" s="1"/>
      <c r="E914" s="200"/>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02"/>
      <c r="C915" s="1"/>
      <c r="D915" s="1"/>
      <c r="E915" s="200"/>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02"/>
      <c r="C916" s="1"/>
      <c r="D916" s="1"/>
      <c r="E916" s="200"/>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02"/>
      <c r="C917" s="1"/>
      <c r="D917" s="1"/>
      <c r="E917" s="200"/>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02"/>
      <c r="C918" s="1"/>
      <c r="D918" s="1"/>
      <c r="E918" s="200"/>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02"/>
      <c r="C919" s="1"/>
      <c r="D919" s="1"/>
      <c r="E919" s="200"/>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02"/>
      <c r="C920" s="1"/>
      <c r="D920" s="1"/>
      <c r="E920" s="200"/>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02"/>
      <c r="C921" s="1"/>
      <c r="D921" s="1"/>
      <c r="E921" s="200"/>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02"/>
      <c r="C922" s="1"/>
      <c r="D922" s="1"/>
      <c r="E922" s="200"/>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02"/>
      <c r="C923" s="1"/>
      <c r="D923" s="1"/>
      <c r="E923" s="200"/>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02"/>
      <c r="C924" s="1"/>
      <c r="D924" s="1"/>
      <c r="E924" s="200"/>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02"/>
      <c r="C925" s="1"/>
      <c r="D925" s="1"/>
      <c r="E925" s="200"/>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02"/>
      <c r="C926" s="1"/>
      <c r="D926" s="1"/>
      <c r="E926" s="200"/>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02"/>
      <c r="C927" s="1"/>
      <c r="D927" s="1"/>
      <c r="E927" s="200"/>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02"/>
      <c r="C928" s="1"/>
      <c r="D928" s="1"/>
      <c r="E928" s="200"/>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02"/>
      <c r="C929" s="1"/>
      <c r="D929" s="1"/>
      <c r="E929" s="200"/>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02"/>
      <c r="C930" s="1"/>
      <c r="D930" s="1"/>
      <c r="E930" s="200"/>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02"/>
      <c r="C931" s="1"/>
      <c r="D931" s="1"/>
      <c r="E931" s="200"/>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02"/>
      <c r="C932" s="1"/>
      <c r="D932" s="1"/>
      <c r="E932" s="200"/>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02"/>
      <c r="C933" s="1"/>
      <c r="D933" s="1"/>
      <c r="E933" s="200"/>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02"/>
      <c r="C934" s="1"/>
      <c r="D934" s="1"/>
      <c r="E934" s="200"/>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02"/>
      <c r="C935" s="1"/>
      <c r="D935" s="1"/>
      <c r="E935" s="200"/>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02"/>
      <c r="C936" s="1"/>
      <c r="D936" s="1"/>
      <c r="E936" s="200"/>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02"/>
      <c r="C937" s="1"/>
      <c r="D937" s="1"/>
      <c r="E937" s="200"/>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02"/>
      <c r="C938" s="1"/>
      <c r="D938" s="1"/>
      <c r="E938" s="200"/>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02"/>
      <c r="C939" s="1"/>
      <c r="D939" s="1"/>
      <c r="E939" s="200"/>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02"/>
      <c r="C940" s="1"/>
      <c r="D940" s="1"/>
      <c r="E940" s="200"/>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02"/>
      <c r="C941" s="1"/>
      <c r="D941" s="1"/>
      <c r="E941" s="200"/>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02"/>
      <c r="C942" s="1"/>
      <c r="D942" s="1"/>
      <c r="E942" s="200"/>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02"/>
      <c r="C943" s="1"/>
      <c r="D943" s="1"/>
      <c r="E943" s="200"/>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02"/>
      <c r="C944" s="1"/>
      <c r="D944" s="1"/>
      <c r="E944" s="200"/>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02"/>
      <c r="C945" s="1"/>
      <c r="D945" s="1"/>
      <c r="E945" s="200"/>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02"/>
      <c r="C946" s="1"/>
      <c r="D946" s="1"/>
      <c r="E946" s="200"/>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02"/>
      <c r="C947" s="1"/>
      <c r="D947" s="1"/>
      <c r="E947" s="200"/>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02"/>
      <c r="C948" s="1"/>
      <c r="D948" s="1"/>
      <c r="E948" s="200"/>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02"/>
      <c r="C949" s="1"/>
      <c r="D949" s="1"/>
      <c r="E949" s="200"/>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02"/>
      <c r="C950" s="1"/>
      <c r="D950" s="1"/>
      <c r="E950" s="200"/>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02"/>
      <c r="C951" s="1"/>
      <c r="D951" s="1"/>
      <c r="E951" s="200"/>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02"/>
      <c r="C952" s="1"/>
      <c r="D952" s="1"/>
      <c r="E952" s="200"/>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02"/>
      <c r="C953" s="1"/>
      <c r="D953" s="1"/>
      <c r="E953" s="200"/>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02"/>
      <c r="C954" s="1"/>
      <c r="D954" s="1"/>
      <c r="E954" s="200"/>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02"/>
      <c r="C955" s="1"/>
      <c r="D955" s="1"/>
      <c r="E955" s="200"/>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02"/>
      <c r="C956" s="1"/>
      <c r="D956" s="1"/>
      <c r="E956" s="200"/>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02"/>
      <c r="C957" s="1"/>
      <c r="D957" s="1"/>
      <c r="E957" s="200"/>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02"/>
      <c r="C958" s="1"/>
      <c r="D958" s="1"/>
      <c r="E958" s="200"/>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02"/>
      <c r="C959" s="1"/>
      <c r="D959" s="1"/>
      <c r="E959" s="200"/>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02"/>
      <c r="C960" s="1"/>
      <c r="D960" s="1"/>
      <c r="E960" s="200"/>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02"/>
      <c r="C961" s="1"/>
      <c r="D961" s="1"/>
      <c r="E961" s="200"/>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02"/>
      <c r="C962" s="1"/>
      <c r="D962" s="1"/>
      <c r="E962" s="200"/>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02"/>
      <c r="C963" s="1"/>
      <c r="D963" s="1"/>
      <c r="E963" s="200"/>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02"/>
      <c r="C964" s="1"/>
      <c r="D964" s="1"/>
      <c r="E964" s="200"/>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02"/>
      <c r="C965" s="1"/>
      <c r="D965" s="1"/>
      <c r="E965" s="200"/>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02"/>
      <c r="C966" s="1"/>
      <c r="D966" s="1"/>
      <c r="E966" s="200"/>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02"/>
      <c r="C967" s="1"/>
      <c r="D967" s="1"/>
      <c r="E967" s="200"/>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02"/>
      <c r="C968" s="1"/>
      <c r="D968" s="1"/>
      <c r="E968" s="200"/>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02"/>
      <c r="C969" s="1"/>
      <c r="D969" s="1"/>
      <c r="E969" s="200"/>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02"/>
      <c r="C970" s="1"/>
      <c r="D970" s="1"/>
      <c r="E970" s="200"/>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02"/>
      <c r="C971" s="1"/>
      <c r="D971" s="1"/>
      <c r="E971" s="200"/>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02"/>
      <c r="C972" s="1"/>
      <c r="D972" s="1"/>
      <c r="E972" s="200"/>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02"/>
      <c r="C973" s="1"/>
      <c r="D973" s="1"/>
      <c r="E973" s="200"/>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02"/>
      <c r="C974" s="1"/>
      <c r="D974" s="1"/>
      <c r="E974" s="200"/>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02"/>
      <c r="C975" s="1"/>
      <c r="D975" s="1"/>
      <c r="E975" s="200"/>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02"/>
      <c r="C976" s="1"/>
      <c r="D976" s="1"/>
      <c r="E976" s="200"/>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02"/>
      <c r="C977" s="1"/>
      <c r="D977" s="1"/>
      <c r="E977" s="200"/>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02"/>
      <c r="C978" s="1"/>
      <c r="D978" s="1"/>
      <c r="E978" s="200"/>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02"/>
      <c r="C979" s="1"/>
      <c r="D979" s="1"/>
      <c r="E979" s="200"/>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02"/>
      <c r="C980" s="1"/>
      <c r="D980" s="1"/>
      <c r="E980" s="200"/>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02"/>
      <c r="C981" s="1"/>
      <c r="D981" s="1"/>
      <c r="E981" s="200"/>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02"/>
      <c r="C982" s="1"/>
      <c r="D982" s="1"/>
      <c r="E982" s="200"/>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02"/>
      <c r="C983" s="1"/>
      <c r="D983" s="1"/>
      <c r="E983" s="200"/>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02"/>
      <c r="C984" s="1"/>
      <c r="D984" s="1"/>
      <c r="E984" s="200"/>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02"/>
      <c r="C985" s="1"/>
      <c r="D985" s="1"/>
      <c r="E985" s="200"/>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02"/>
      <c r="C986" s="1"/>
      <c r="D986" s="1"/>
      <c r="E986" s="200"/>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02"/>
      <c r="C987" s="1"/>
      <c r="D987" s="1"/>
      <c r="E987" s="200"/>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02"/>
      <c r="C988" s="1"/>
      <c r="D988" s="1"/>
      <c r="E988" s="200"/>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02"/>
      <c r="C989" s="1"/>
      <c r="D989" s="1"/>
      <c r="E989" s="200"/>
      <c r="F989" s="1"/>
      <c r="G989" s="1"/>
      <c r="H989" s="1"/>
      <c r="I989" s="1"/>
      <c r="J989" s="1"/>
      <c r="K989" s="1"/>
      <c r="L989" s="1"/>
      <c r="M989" s="1"/>
      <c r="N989" s="1"/>
      <c r="O989" s="1"/>
      <c r="P989" s="1"/>
      <c r="Q989" s="1"/>
      <c r="R989" s="1"/>
      <c r="S989" s="1"/>
      <c r="T989" s="1"/>
      <c r="U989" s="1"/>
      <c r="V989" s="1"/>
      <c r="W989" s="1"/>
      <c r="X989" s="1"/>
      <c r="Y989" s="1"/>
      <c r="Z989" s="1"/>
    </row>
  </sheetData>
  <mergeCells count="14">
    <mergeCell ref="A52:B52"/>
    <mergeCell ref="C1:E1"/>
    <mergeCell ref="C2:E2"/>
    <mergeCell ref="C3:E3"/>
    <mergeCell ref="C4:E4"/>
    <mergeCell ref="A5:B5"/>
    <mergeCell ref="A31:B31"/>
    <mergeCell ref="A40:B40"/>
    <mergeCell ref="A48:B48"/>
    <mergeCell ref="A1:B4"/>
    <mergeCell ref="A28:B28"/>
    <mergeCell ref="A17:B17"/>
    <mergeCell ref="A12:B12"/>
    <mergeCell ref="A22:B22"/>
  </mergeCells>
  <pageMargins left="0.7" right="0.7" top="0.75" bottom="0.7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Z941"/>
  <sheetViews>
    <sheetView topLeftCell="A90" workbookViewId="0">
      <selection activeCell="D100" sqref="D100"/>
    </sheetView>
  </sheetViews>
  <sheetFormatPr baseColWidth="10" defaultColWidth="14.42578125" defaultRowHeight="15" customHeight="1" x14ac:dyDescent="0.25"/>
  <cols>
    <col min="1" max="1" width="33.42578125" style="103" customWidth="1"/>
    <col min="2" max="2" width="8.140625" style="103" customWidth="1"/>
    <col min="3" max="3" width="15.7109375" customWidth="1"/>
    <col min="4" max="4" width="11.42578125" customWidth="1"/>
    <col min="5" max="5" width="14.28515625" customWidth="1"/>
    <col min="6" max="6" width="17" customWidth="1"/>
    <col min="7" max="7" width="21.85546875" customWidth="1"/>
    <col min="8" max="10" width="11.42578125" customWidth="1"/>
    <col min="11" max="26" width="10.7109375" customWidth="1"/>
  </cols>
  <sheetData>
    <row r="1" spans="1:26" x14ac:dyDescent="0.25">
      <c r="A1" s="229"/>
      <c r="B1" s="230"/>
      <c r="C1" s="231" t="s">
        <v>0</v>
      </c>
      <c r="D1" s="232"/>
      <c r="E1" s="228"/>
      <c r="F1" s="7"/>
      <c r="G1" s="7"/>
      <c r="H1" s="7"/>
      <c r="I1" s="7"/>
      <c r="J1" s="7"/>
      <c r="K1" s="7"/>
      <c r="L1" s="7"/>
      <c r="M1" s="7"/>
      <c r="N1" s="7"/>
      <c r="O1" s="7"/>
      <c r="P1" s="7"/>
      <c r="Q1" s="7"/>
      <c r="R1" s="7"/>
      <c r="S1" s="7"/>
      <c r="T1" s="7"/>
      <c r="U1" s="7"/>
      <c r="V1" s="7"/>
      <c r="W1" s="7"/>
      <c r="X1" s="7"/>
      <c r="Y1" s="7"/>
      <c r="Z1" s="7"/>
    </row>
    <row r="2" spans="1:26" x14ac:dyDescent="0.25">
      <c r="A2" s="213"/>
      <c r="B2" s="230"/>
      <c r="C2" s="231" t="s">
        <v>1</v>
      </c>
      <c r="D2" s="232"/>
      <c r="E2" s="228"/>
      <c r="F2" s="7"/>
      <c r="G2" s="8" t="s">
        <v>6</v>
      </c>
      <c r="H2" s="9" t="s">
        <v>7</v>
      </c>
      <c r="I2" s="7"/>
      <c r="J2" s="7"/>
      <c r="K2" s="7"/>
      <c r="L2" s="7"/>
      <c r="M2" s="7"/>
      <c r="N2" s="7"/>
      <c r="O2" s="7"/>
      <c r="P2" s="7"/>
      <c r="Q2" s="7"/>
      <c r="R2" s="7"/>
      <c r="S2" s="7"/>
      <c r="T2" s="7"/>
      <c r="U2" s="7"/>
      <c r="V2" s="7"/>
      <c r="W2" s="7"/>
      <c r="X2" s="7"/>
      <c r="Y2" s="7"/>
      <c r="Z2" s="7"/>
    </row>
    <row r="3" spans="1:26" x14ac:dyDescent="0.25">
      <c r="A3" s="213"/>
      <c r="B3" s="230"/>
      <c r="C3" s="233">
        <v>44802</v>
      </c>
      <c r="D3" s="232"/>
      <c r="E3" s="228"/>
      <c r="F3" s="7"/>
      <c r="G3" s="10" t="s">
        <v>8</v>
      </c>
      <c r="H3" s="10" t="s">
        <v>9</v>
      </c>
      <c r="I3" s="234" t="s">
        <v>10</v>
      </c>
      <c r="J3" s="225"/>
      <c r="K3" s="7"/>
      <c r="L3" s="7"/>
      <c r="M3" s="7"/>
      <c r="N3" s="7"/>
      <c r="O3" s="7"/>
      <c r="P3" s="7"/>
      <c r="Q3" s="7"/>
      <c r="R3" s="7"/>
      <c r="S3" s="7"/>
      <c r="T3" s="7"/>
      <c r="U3" s="7"/>
      <c r="V3" s="7"/>
      <c r="W3" s="7"/>
      <c r="X3" s="7"/>
      <c r="Y3" s="7"/>
      <c r="Z3" s="7"/>
    </row>
    <row r="4" spans="1:26" ht="16.5" customHeight="1" x14ac:dyDescent="0.25">
      <c r="A4" s="213"/>
      <c r="B4" s="230"/>
      <c r="C4" s="236" t="s">
        <v>93</v>
      </c>
      <c r="D4" s="232"/>
      <c r="E4" s="228"/>
      <c r="F4" s="7"/>
      <c r="G4" s="10" t="s">
        <v>11</v>
      </c>
      <c r="H4" s="10" t="s">
        <v>12</v>
      </c>
      <c r="I4" s="213"/>
      <c r="J4" s="235"/>
      <c r="K4" s="7"/>
      <c r="L4" s="7"/>
      <c r="M4" s="7"/>
      <c r="N4" s="7"/>
      <c r="O4" s="7"/>
      <c r="P4" s="7"/>
      <c r="Q4" s="7"/>
      <c r="R4" s="7"/>
      <c r="S4" s="7"/>
      <c r="T4" s="7"/>
      <c r="U4" s="7"/>
      <c r="V4" s="7"/>
      <c r="W4" s="7"/>
      <c r="X4" s="7"/>
      <c r="Y4" s="7"/>
      <c r="Z4" s="7"/>
    </row>
    <row r="5" spans="1:26" ht="15.75" x14ac:dyDescent="0.25">
      <c r="A5" s="123" t="s">
        <v>142</v>
      </c>
      <c r="B5" s="118" t="s">
        <v>13</v>
      </c>
      <c r="C5" s="12" t="s">
        <v>14</v>
      </c>
      <c r="D5" s="13" t="s">
        <v>15</v>
      </c>
      <c r="E5" s="11" t="s">
        <v>16</v>
      </c>
      <c r="F5" s="7"/>
      <c r="G5" s="10" t="s">
        <v>17</v>
      </c>
      <c r="H5" s="10" t="s">
        <v>18</v>
      </c>
      <c r="I5" s="215"/>
      <c r="J5" s="226"/>
      <c r="K5" s="7"/>
      <c r="L5" s="7"/>
      <c r="M5" s="7"/>
      <c r="N5" s="7"/>
      <c r="O5" s="7"/>
      <c r="P5" s="7"/>
      <c r="Q5" s="7"/>
      <c r="R5" s="7"/>
      <c r="S5" s="7"/>
      <c r="T5" s="7"/>
      <c r="U5" s="7"/>
      <c r="V5" s="7"/>
      <c r="W5" s="7"/>
      <c r="X5" s="7"/>
      <c r="Y5" s="7"/>
      <c r="Z5" s="7"/>
    </row>
    <row r="6" spans="1:26" ht="15.75" x14ac:dyDescent="0.25">
      <c r="A6" s="126" t="s">
        <v>154</v>
      </c>
      <c r="B6" s="119" t="s">
        <v>18</v>
      </c>
      <c r="C6" s="15">
        <v>48800</v>
      </c>
      <c r="D6" s="16">
        <f t="shared" ref="D6:D11" si="0">+C6/1000</f>
        <v>48.8</v>
      </c>
      <c r="E6" s="14"/>
      <c r="F6" s="7"/>
      <c r="G6" s="17" t="s">
        <v>19</v>
      </c>
      <c r="H6" s="17" t="s">
        <v>20</v>
      </c>
      <c r="I6" s="224" t="s">
        <v>21</v>
      </c>
      <c r="J6" s="225"/>
      <c r="K6" s="7"/>
      <c r="L6" s="7"/>
      <c r="M6" s="7"/>
      <c r="N6" s="7"/>
      <c r="O6" s="7"/>
      <c r="P6" s="7"/>
      <c r="Q6" s="7"/>
      <c r="R6" s="7"/>
      <c r="S6" s="7"/>
      <c r="T6" s="7"/>
      <c r="U6" s="7"/>
      <c r="V6" s="7"/>
      <c r="W6" s="7"/>
      <c r="X6" s="7"/>
      <c r="Y6" s="7"/>
      <c r="Z6" s="7"/>
    </row>
    <row r="7" spans="1:26" ht="15.75" x14ac:dyDescent="0.25">
      <c r="A7" s="126" t="s">
        <v>155</v>
      </c>
      <c r="B7" s="119" t="s">
        <v>18</v>
      </c>
      <c r="C7" s="15">
        <v>44000</v>
      </c>
      <c r="D7" s="16">
        <f t="shared" si="0"/>
        <v>44</v>
      </c>
      <c r="E7" s="14"/>
      <c r="F7" s="7"/>
      <c r="G7" s="17" t="s">
        <v>22</v>
      </c>
      <c r="H7" s="17" t="s">
        <v>23</v>
      </c>
      <c r="I7" s="215"/>
      <c r="J7" s="226"/>
      <c r="K7" s="7"/>
      <c r="L7" s="7"/>
      <c r="M7" s="7"/>
      <c r="N7" s="7"/>
      <c r="O7" s="7"/>
      <c r="P7" s="7"/>
      <c r="Q7" s="7"/>
      <c r="R7" s="7"/>
      <c r="S7" s="7"/>
      <c r="T7" s="7"/>
      <c r="U7" s="7"/>
      <c r="V7" s="7"/>
      <c r="W7" s="7"/>
      <c r="X7" s="7"/>
      <c r="Y7" s="7"/>
      <c r="Z7" s="7"/>
    </row>
    <row r="8" spans="1:26" ht="15.75" x14ac:dyDescent="0.25">
      <c r="A8" s="126" t="s">
        <v>160</v>
      </c>
      <c r="B8" s="119" t="s">
        <v>18</v>
      </c>
      <c r="C8" s="15">
        <v>23600</v>
      </c>
      <c r="D8" s="16">
        <f t="shared" si="0"/>
        <v>23.6</v>
      </c>
      <c r="E8" s="14"/>
      <c r="F8" s="7"/>
      <c r="G8" s="18" t="s">
        <v>24</v>
      </c>
      <c r="H8" s="18" t="s">
        <v>25</v>
      </c>
      <c r="I8" s="227" t="s">
        <v>26</v>
      </c>
      <c r="J8" s="228"/>
      <c r="K8" s="7"/>
      <c r="L8" s="7"/>
      <c r="M8" s="7"/>
      <c r="N8" s="7"/>
      <c r="O8" s="7"/>
      <c r="P8" s="7"/>
      <c r="Q8" s="7"/>
      <c r="R8" s="7"/>
      <c r="S8" s="7"/>
      <c r="T8" s="7"/>
      <c r="U8" s="7"/>
      <c r="V8" s="7"/>
      <c r="W8" s="7"/>
      <c r="X8" s="7"/>
      <c r="Y8" s="7"/>
      <c r="Z8" s="7"/>
    </row>
    <row r="9" spans="1:26" ht="15.75" x14ac:dyDescent="0.25">
      <c r="A9" s="127" t="s">
        <v>177</v>
      </c>
      <c r="B9" s="120" t="s">
        <v>18</v>
      </c>
      <c r="C9" s="15">
        <v>10710</v>
      </c>
      <c r="D9" s="16">
        <f t="shared" si="0"/>
        <v>10.71</v>
      </c>
      <c r="E9" s="14"/>
      <c r="F9" s="7"/>
      <c r="G9" s="7"/>
      <c r="H9" s="7"/>
      <c r="I9" s="7"/>
      <c r="J9" s="7"/>
      <c r="K9" s="7"/>
      <c r="L9" s="7"/>
      <c r="M9" s="7"/>
      <c r="N9" s="7"/>
      <c r="O9" s="7"/>
      <c r="P9" s="7"/>
      <c r="Q9" s="7"/>
      <c r="R9" s="7"/>
      <c r="S9" s="7"/>
      <c r="T9" s="7"/>
      <c r="U9" s="7"/>
      <c r="V9" s="7"/>
      <c r="W9" s="7"/>
      <c r="X9" s="7"/>
      <c r="Y9" s="7"/>
      <c r="Z9" s="7"/>
    </row>
    <row r="10" spans="1:26" ht="15.75" x14ac:dyDescent="0.25">
      <c r="A10" s="126" t="s">
        <v>235</v>
      </c>
      <c r="B10" s="119" t="s">
        <v>18</v>
      </c>
      <c r="C10" s="15">
        <v>27600</v>
      </c>
      <c r="D10" s="16">
        <f t="shared" si="0"/>
        <v>27.6</v>
      </c>
      <c r="E10" s="14"/>
      <c r="F10" s="7"/>
      <c r="G10" s="7"/>
      <c r="H10" s="7"/>
      <c r="I10" s="7"/>
      <c r="J10" s="7"/>
      <c r="K10" s="7"/>
      <c r="L10" s="7"/>
      <c r="M10" s="7"/>
      <c r="N10" s="7"/>
      <c r="O10" s="7"/>
      <c r="P10" s="7"/>
      <c r="Q10" s="7"/>
      <c r="R10" s="7"/>
      <c r="S10" s="7"/>
      <c r="T10" s="7"/>
      <c r="U10" s="7"/>
      <c r="V10" s="7"/>
      <c r="W10" s="7"/>
      <c r="X10" s="7"/>
      <c r="Y10" s="7"/>
      <c r="Z10" s="7"/>
    </row>
    <row r="11" spans="1:26" ht="15.75" x14ac:dyDescent="0.25">
      <c r="A11" s="126" t="s">
        <v>236</v>
      </c>
      <c r="B11" s="119" t="s">
        <v>18</v>
      </c>
      <c r="C11" s="15">
        <v>24000</v>
      </c>
      <c r="D11" s="16">
        <f t="shared" si="0"/>
        <v>24</v>
      </c>
      <c r="E11" s="14"/>
      <c r="F11" s="7"/>
      <c r="G11" s="7"/>
      <c r="H11" s="7"/>
      <c r="I11" s="7"/>
      <c r="J11" s="7"/>
      <c r="K11" s="7"/>
      <c r="L11" s="7"/>
      <c r="M11" s="7"/>
      <c r="N11" s="7"/>
      <c r="O11" s="7"/>
      <c r="P11" s="7"/>
      <c r="Q11" s="7"/>
      <c r="R11" s="7"/>
      <c r="S11" s="7"/>
      <c r="T11" s="7"/>
      <c r="U11" s="7"/>
      <c r="V11" s="7"/>
      <c r="W11" s="7"/>
      <c r="X11" s="7"/>
      <c r="Y11" s="7"/>
      <c r="Z11" s="7"/>
    </row>
    <row r="12" spans="1:26" ht="15.75" x14ac:dyDescent="0.25">
      <c r="A12" s="126"/>
      <c r="B12" s="119"/>
      <c r="C12" s="15"/>
      <c r="D12" s="16"/>
      <c r="E12" s="14"/>
      <c r="F12" s="7"/>
      <c r="G12" s="7"/>
      <c r="H12" s="7"/>
      <c r="I12" s="7"/>
      <c r="J12" s="7"/>
      <c r="K12" s="7"/>
      <c r="L12" s="7"/>
      <c r="M12" s="7"/>
      <c r="N12" s="7"/>
      <c r="O12" s="7"/>
      <c r="P12" s="7"/>
      <c r="Q12" s="7"/>
      <c r="R12" s="7"/>
      <c r="S12" s="7"/>
      <c r="T12" s="7"/>
      <c r="U12" s="7"/>
      <c r="V12" s="7"/>
      <c r="W12" s="7"/>
      <c r="X12" s="7"/>
      <c r="Y12" s="7"/>
      <c r="Z12" s="7"/>
    </row>
    <row r="13" spans="1:26" ht="15" customHeight="1" x14ac:dyDescent="0.25">
      <c r="A13" s="124" t="s">
        <v>166</v>
      </c>
      <c r="B13" s="118" t="s">
        <v>13</v>
      </c>
      <c r="C13" s="12" t="s">
        <v>14</v>
      </c>
      <c r="D13" s="13" t="s">
        <v>233</v>
      </c>
      <c r="E13" s="11" t="s">
        <v>16</v>
      </c>
      <c r="F13" s="7"/>
      <c r="G13" s="7"/>
      <c r="H13" s="7"/>
      <c r="I13" s="7"/>
      <c r="J13" s="7"/>
      <c r="K13" s="7"/>
      <c r="L13" s="7"/>
      <c r="M13" s="7"/>
      <c r="N13" s="7"/>
      <c r="O13" s="7"/>
      <c r="P13" s="7"/>
      <c r="Q13" s="7"/>
      <c r="R13" s="7"/>
      <c r="S13" s="7"/>
      <c r="T13" s="7"/>
      <c r="U13" s="7"/>
      <c r="V13" s="7"/>
      <c r="W13" s="7"/>
      <c r="X13" s="7"/>
      <c r="Y13" s="7"/>
      <c r="Z13" s="7"/>
    </row>
    <row r="14" spans="1:26" ht="15.75" x14ac:dyDescent="0.25">
      <c r="A14" s="126" t="s">
        <v>143</v>
      </c>
      <c r="B14" s="119" t="s">
        <v>18</v>
      </c>
      <c r="C14" s="15">
        <v>229680</v>
      </c>
      <c r="D14" s="16">
        <f>+C14/20</f>
        <v>11484</v>
      </c>
      <c r="E14" s="14"/>
      <c r="F14" s="7"/>
      <c r="G14" s="7"/>
      <c r="H14" s="7"/>
      <c r="I14" s="7"/>
      <c r="J14" s="7"/>
      <c r="K14" s="7"/>
      <c r="L14" s="7"/>
      <c r="M14" s="7"/>
      <c r="N14" s="7"/>
      <c r="O14" s="7"/>
      <c r="P14" s="7"/>
      <c r="Q14" s="7"/>
      <c r="R14" s="7"/>
      <c r="S14" s="7"/>
      <c r="T14" s="7"/>
      <c r="U14" s="7"/>
      <c r="V14" s="7"/>
      <c r="W14" s="7"/>
      <c r="X14" s="7"/>
      <c r="Y14" s="7"/>
      <c r="Z14" s="7"/>
    </row>
    <row r="15" spans="1:26" ht="15.75" x14ac:dyDescent="0.25">
      <c r="A15" s="126" t="s">
        <v>167</v>
      </c>
      <c r="B15" s="119" t="s">
        <v>25</v>
      </c>
      <c r="C15" s="15">
        <v>850</v>
      </c>
      <c r="D15" s="16">
        <f>+C15/1</f>
        <v>850</v>
      </c>
      <c r="E15" s="14"/>
      <c r="F15" s="7"/>
      <c r="G15" s="7"/>
      <c r="H15" s="7"/>
      <c r="I15" s="7"/>
      <c r="J15" s="7"/>
      <c r="K15" s="7"/>
      <c r="L15" s="7"/>
      <c r="M15" s="7"/>
      <c r="N15" s="7"/>
      <c r="O15" s="7"/>
      <c r="P15" s="7"/>
      <c r="Q15" s="7"/>
      <c r="R15" s="7"/>
      <c r="S15" s="7"/>
      <c r="T15" s="7"/>
      <c r="U15" s="7"/>
      <c r="V15" s="7"/>
      <c r="W15" s="7"/>
      <c r="X15" s="7"/>
      <c r="Y15" s="7"/>
      <c r="Z15" s="7"/>
    </row>
    <row r="16" spans="1:26" ht="15.75" x14ac:dyDescent="0.25">
      <c r="A16" s="126"/>
      <c r="B16" s="119"/>
      <c r="C16" s="15"/>
      <c r="D16" s="16"/>
      <c r="E16" s="14"/>
      <c r="F16" s="7"/>
      <c r="G16" s="7"/>
      <c r="H16" s="7"/>
      <c r="I16" s="7"/>
      <c r="J16" s="7"/>
      <c r="K16" s="7"/>
      <c r="L16" s="7"/>
      <c r="M16" s="7"/>
      <c r="N16" s="7"/>
      <c r="O16" s="7"/>
      <c r="P16" s="7"/>
      <c r="Q16" s="7"/>
      <c r="R16" s="7"/>
      <c r="S16" s="7"/>
      <c r="T16" s="7"/>
      <c r="U16" s="7"/>
      <c r="V16" s="7"/>
      <c r="W16" s="7"/>
      <c r="X16" s="7"/>
      <c r="Y16" s="7"/>
      <c r="Z16" s="7"/>
    </row>
    <row r="17" spans="1:26" ht="15" customHeight="1" x14ac:dyDescent="0.25">
      <c r="A17" s="127"/>
      <c r="B17" s="120"/>
      <c r="C17" s="15"/>
      <c r="D17" s="16"/>
      <c r="E17" s="14"/>
      <c r="F17" s="7"/>
      <c r="G17" s="7"/>
      <c r="H17" s="7"/>
      <c r="I17" s="7"/>
      <c r="J17" s="7"/>
      <c r="K17" s="7"/>
      <c r="L17" s="7"/>
      <c r="M17" s="7"/>
      <c r="N17" s="7"/>
      <c r="O17" s="7"/>
      <c r="P17" s="7"/>
      <c r="Q17" s="7"/>
      <c r="R17" s="7"/>
      <c r="S17" s="7"/>
      <c r="T17" s="7"/>
      <c r="U17" s="7"/>
      <c r="V17" s="7"/>
      <c r="W17" s="7"/>
      <c r="X17" s="7"/>
      <c r="Y17" s="7"/>
      <c r="Z17" s="7"/>
    </row>
    <row r="18" spans="1:26" ht="15.75" customHeight="1" x14ac:dyDescent="0.25">
      <c r="A18" s="127"/>
      <c r="B18" s="120"/>
      <c r="C18" s="15"/>
      <c r="D18" s="16"/>
      <c r="E18" s="14"/>
      <c r="F18" s="7"/>
      <c r="G18" s="7"/>
      <c r="H18" s="7"/>
      <c r="I18" s="7"/>
      <c r="J18" s="7"/>
      <c r="K18" s="7"/>
      <c r="L18" s="7"/>
      <c r="M18" s="7"/>
      <c r="N18" s="7"/>
      <c r="O18" s="7"/>
      <c r="P18" s="7"/>
      <c r="Q18" s="7"/>
      <c r="R18" s="7"/>
      <c r="S18" s="7"/>
      <c r="T18" s="7"/>
      <c r="U18" s="7"/>
      <c r="V18" s="7"/>
      <c r="W18" s="7"/>
      <c r="X18" s="7"/>
      <c r="Y18" s="7"/>
      <c r="Z18" s="7"/>
    </row>
    <row r="19" spans="1:26" ht="15.75" customHeight="1" x14ac:dyDescent="0.25">
      <c r="A19" s="126"/>
      <c r="B19" s="119"/>
      <c r="C19" s="15"/>
      <c r="D19" s="16"/>
      <c r="E19" s="14"/>
      <c r="F19" s="7"/>
      <c r="G19" s="7"/>
      <c r="H19" s="7"/>
      <c r="I19" s="7"/>
      <c r="J19" s="7"/>
      <c r="K19" s="7"/>
      <c r="L19" s="7"/>
      <c r="M19" s="7"/>
      <c r="N19" s="7"/>
      <c r="O19" s="7"/>
      <c r="P19" s="7"/>
      <c r="Q19" s="7"/>
      <c r="R19" s="7"/>
      <c r="S19" s="7"/>
      <c r="T19" s="7"/>
      <c r="U19" s="7"/>
      <c r="V19" s="7"/>
      <c r="W19" s="7"/>
      <c r="X19" s="7"/>
      <c r="Y19" s="7"/>
      <c r="Z19" s="7"/>
    </row>
    <row r="20" spans="1:26" ht="15.75" customHeight="1" x14ac:dyDescent="0.25">
      <c r="A20" s="124" t="s">
        <v>145</v>
      </c>
      <c r="B20" s="118" t="s">
        <v>13</v>
      </c>
      <c r="C20" s="12" t="s">
        <v>14</v>
      </c>
      <c r="D20" s="13" t="s">
        <v>15</v>
      </c>
      <c r="E20" s="11" t="s">
        <v>16</v>
      </c>
      <c r="F20" s="7"/>
      <c r="G20" s="7"/>
      <c r="H20" s="7"/>
      <c r="I20" s="7"/>
      <c r="J20" s="7"/>
      <c r="K20" s="7"/>
      <c r="L20" s="7"/>
      <c r="M20" s="7"/>
      <c r="N20" s="7"/>
      <c r="O20" s="7"/>
      <c r="P20" s="7"/>
      <c r="Q20" s="7"/>
      <c r="R20" s="7"/>
      <c r="S20" s="7"/>
      <c r="T20" s="7"/>
      <c r="U20" s="7"/>
      <c r="V20" s="7"/>
      <c r="W20" s="7"/>
      <c r="X20" s="7"/>
      <c r="Y20" s="7"/>
      <c r="Z20" s="7"/>
    </row>
    <row r="21" spans="1:26" ht="15.75" customHeight="1" x14ac:dyDescent="0.25">
      <c r="A21" s="126" t="s">
        <v>156</v>
      </c>
      <c r="B21" s="119" t="s">
        <v>18</v>
      </c>
      <c r="C21" s="19">
        <v>23600</v>
      </c>
      <c r="D21" s="16">
        <f>+C21/1000</f>
        <v>23.6</v>
      </c>
      <c r="E21" s="14"/>
      <c r="F21" s="7"/>
      <c r="G21" s="7"/>
      <c r="H21" s="7"/>
      <c r="I21" s="7"/>
      <c r="J21" s="7"/>
      <c r="K21" s="7"/>
      <c r="L21" s="7"/>
      <c r="M21" s="7"/>
      <c r="N21" s="7"/>
      <c r="O21" s="7"/>
      <c r="P21" s="7"/>
      <c r="Q21" s="7"/>
      <c r="R21" s="7"/>
      <c r="S21" s="7"/>
      <c r="T21" s="7"/>
      <c r="U21" s="7"/>
      <c r="V21" s="7"/>
      <c r="W21" s="7"/>
      <c r="X21" s="7"/>
      <c r="Y21" s="7"/>
      <c r="Z21" s="7"/>
    </row>
    <row r="22" spans="1:26" ht="15.75" customHeight="1" x14ac:dyDescent="0.25">
      <c r="A22" s="126" t="s">
        <v>157</v>
      </c>
      <c r="B22" s="119" t="s">
        <v>18</v>
      </c>
      <c r="C22" s="19">
        <v>22000</v>
      </c>
      <c r="D22" s="16">
        <f>+C22/1000</f>
        <v>22</v>
      </c>
      <c r="E22" s="14"/>
      <c r="F22" s="7"/>
      <c r="G22" s="7"/>
      <c r="H22" s="7"/>
      <c r="I22" s="7"/>
      <c r="J22" s="7"/>
      <c r="K22" s="7"/>
      <c r="L22" s="7"/>
      <c r="M22" s="7"/>
      <c r="N22" s="7"/>
      <c r="O22" s="7"/>
      <c r="P22" s="7"/>
      <c r="Q22" s="7"/>
      <c r="R22" s="7"/>
      <c r="S22" s="7"/>
      <c r="T22" s="7"/>
      <c r="U22" s="7"/>
      <c r="V22" s="7"/>
      <c r="W22" s="7"/>
      <c r="X22" s="7"/>
      <c r="Y22" s="7"/>
      <c r="Z22" s="7"/>
    </row>
    <row r="23" spans="1:26" ht="15.75" customHeight="1" x14ac:dyDescent="0.25">
      <c r="A23" s="126" t="s">
        <v>158</v>
      </c>
      <c r="B23" s="119" t="s">
        <v>18</v>
      </c>
      <c r="C23" s="19">
        <v>28000</v>
      </c>
      <c r="D23" s="16">
        <f>+C23/1000</f>
        <v>28</v>
      </c>
      <c r="E23" s="14"/>
      <c r="F23" s="7"/>
      <c r="G23" s="7"/>
      <c r="H23" s="7"/>
      <c r="I23" s="7"/>
      <c r="J23" s="7"/>
      <c r="K23" s="7"/>
      <c r="L23" s="7"/>
      <c r="M23" s="7"/>
      <c r="N23" s="7"/>
      <c r="O23" s="7"/>
      <c r="P23" s="7"/>
      <c r="Q23" s="7"/>
      <c r="R23" s="7"/>
      <c r="S23" s="7"/>
      <c r="T23" s="7"/>
      <c r="U23" s="7"/>
      <c r="V23" s="7"/>
      <c r="W23" s="7"/>
      <c r="X23" s="7"/>
      <c r="Y23" s="7"/>
      <c r="Z23" s="7"/>
    </row>
    <row r="24" spans="1:26" ht="15.75" customHeight="1" x14ac:dyDescent="0.25">
      <c r="A24" s="126" t="s">
        <v>159</v>
      </c>
      <c r="B24" s="119" t="s">
        <v>18</v>
      </c>
      <c r="C24" s="15">
        <v>19000</v>
      </c>
      <c r="D24" s="16">
        <f>+C24/1000</f>
        <v>19</v>
      </c>
      <c r="E24" s="14"/>
      <c r="F24" s="7"/>
      <c r="G24" s="7"/>
      <c r="H24" s="7"/>
      <c r="I24" s="7"/>
      <c r="J24" s="7"/>
      <c r="K24" s="7"/>
      <c r="L24" s="7"/>
      <c r="M24" s="7"/>
      <c r="N24" s="7"/>
      <c r="O24" s="7"/>
      <c r="P24" s="7"/>
      <c r="Q24" s="7"/>
      <c r="R24" s="7"/>
      <c r="S24" s="7"/>
      <c r="T24" s="7"/>
      <c r="U24" s="7"/>
      <c r="V24" s="7"/>
      <c r="W24" s="7"/>
      <c r="X24" s="7"/>
      <c r="Y24" s="7"/>
      <c r="Z24" s="7"/>
    </row>
    <row r="25" spans="1:26" ht="15.75" customHeight="1" x14ac:dyDescent="0.25">
      <c r="A25" s="128" t="s">
        <v>162</v>
      </c>
      <c r="B25" s="129" t="s">
        <v>9</v>
      </c>
      <c r="C25" s="130">
        <v>8400</v>
      </c>
      <c r="D25" s="131">
        <f>+C25/15</f>
        <v>560</v>
      </c>
      <c r="E25" s="14"/>
      <c r="F25" s="7"/>
      <c r="G25" s="7"/>
      <c r="H25" s="7"/>
      <c r="I25" s="7"/>
      <c r="J25" s="7"/>
      <c r="K25" s="7"/>
      <c r="L25" s="7"/>
      <c r="M25" s="7"/>
      <c r="N25" s="7"/>
      <c r="O25" s="7"/>
      <c r="P25" s="7"/>
      <c r="Q25" s="7"/>
      <c r="R25" s="7"/>
      <c r="S25" s="7"/>
      <c r="T25" s="7"/>
      <c r="U25" s="7"/>
      <c r="V25" s="7"/>
      <c r="W25" s="7"/>
      <c r="X25" s="7"/>
      <c r="Y25" s="7"/>
      <c r="Z25" s="7"/>
    </row>
    <row r="26" spans="1:26" ht="15.75" customHeight="1" x14ac:dyDescent="0.25">
      <c r="A26" s="132" t="s">
        <v>234</v>
      </c>
      <c r="B26" s="133" t="s">
        <v>9</v>
      </c>
      <c r="C26" s="134">
        <v>23600</v>
      </c>
      <c r="D26" s="135">
        <f>+C26/1000</f>
        <v>23.6</v>
      </c>
      <c r="E26" s="14"/>
      <c r="F26" s="7"/>
      <c r="G26" s="7"/>
      <c r="H26" s="7"/>
      <c r="I26" s="7"/>
      <c r="J26" s="7"/>
      <c r="K26" s="7"/>
      <c r="L26" s="7"/>
      <c r="M26" s="7"/>
      <c r="N26" s="7"/>
      <c r="O26" s="7"/>
      <c r="P26" s="7"/>
      <c r="Q26" s="7"/>
      <c r="R26" s="7"/>
      <c r="S26" s="7"/>
      <c r="T26" s="7"/>
      <c r="U26" s="7"/>
      <c r="V26" s="7"/>
      <c r="W26" s="7"/>
      <c r="X26" s="7"/>
      <c r="Y26" s="7"/>
      <c r="Z26" s="7"/>
    </row>
    <row r="27" spans="1:26" ht="15.75" customHeight="1" x14ac:dyDescent="0.25">
      <c r="A27" s="143" t="s">
        <v>397</v>
      </c>
      <c r="B27" s="133" t="s">
        <v>9</v>
      </c>
      <c r="C27" s="134">
        <v>6600</v>
      </c>
      <c r="D27" s="135">
        <f>+C27/10</f>
        <v>660</v>
      </c>
      <c r="E27" s="14"/>
      <c r="F27" s="7"/>
      <c r="G27" s="7"/>
      <c r="H27" s="7"/>
      <c r="I27" s="7"/>
      <c r="J27" s="7"/>
      <c r="K27" s="7"/>
      <c r="L27" s="7"/>
      <c r="M27" s="7"/>
      <c r="N27" s="7"/>
      <c r="O27" s="7"/>
      <c r="P27" s="7"/>
      <c r="Q27" s="7"/>
      <c r="R27" s="7"/>
      <c r="S27" s="7"/>
      <c r="T27" s="7"/>
      <c r="U27" s="7"/>
      <c r="V27" s="7"/>
      <c r="W27" s="7"/>
      <c r="X27" s="7"/>
      <c r="Y27" s="7"/>
      <c r="Z27" s="7"/>
    </row>
    <row r="28" spans="1:26" ht="15.75" customHeight="1" x14ac:dyDescent="0.25">
      <c r="A28" s="126"/>
      <c r="B28" s="119"/>
      <c r="C28" s="15"/>
      <c r="D28" s="16"/>
      <c r="E28" s="14"/>
      <c r="F28" s="7"/>
      <c r="G28" s="7"/>
      <c r="H28" s="7"/>
      <c r="I28" s="7"/>
      <c r="J28" s="7"/>
      <c r="K28" s="7"/>
      <c r="L28" s="7"/>
      <c r="M28" s="7"/>
      <c r="N28" s="7"/>
      <c r="O28" s="7"/>
      <c r="P28" s="7"/>
      <c r="Q28" s="7"/>
      <c r="R28" s="7"/>
      <c r="S28" s="7"/>
      <c r="T28" s="7"/>
      <c r="U28" s="7"/>
      <c r="V28" s="7"/>
      <c r="W28" s="7"/>
      <c r="X28" s="7"/>
      <c r="Y28" s="7"/>
      <c r="Z28" s="7"/>
    </row>
    <row r="29" spans="1:26" ht="15.75" customHeight="1" x14ac:dyDescent="0.25">
      <c r="A29" s="124" t="s">
        <v>27</v>
      </c>
      <c r="B29" s="118" t="s">
        <v>13</v>
      </c>
      <c r="C29" s="12" t="s">
        <v>14</v>
      </c>
      <c r="D29" s="13" t="s">
        <v>15</v>
      </c>
      <c r="E29" s="11" t="s">
        <v>16</v>
      </c>
      <c r="F29" s="7"/>
      <c r="G29" s="7"/>
      <c r="H29" s="7"/>
      <c r="I29" s="7"/>
      <c r="J29" s="7"/>
      <c r="K29" s="7"/>
      <c r="L29" s="7"/>
      <c r="M29" s="7"/>
      <c r="N29" s="7"/>
      <c r="O29" s="7"/>
      <c r="P29" s="7"/>
      <c r="Q29" s="7"/>
      <c r="R29" s="7"/>
      <c r="S29" s="7"/>
      <c r="T29" s="7"/>
      <c r="U29" s="7"/>
      <c r="V29" s="7"/>
      <c r="W29" s="7"/>
      <c r="X29" s="7"/>
      <c r="Y29" s="7"/>
      <c r="Z29" s="7"/>
    </row>
    <row r="30" spans="1:26" ht="15.75" customHeight="1" x14ac:dyDescent="0.25">
      <c r="A30" s="127" t="s">
        <v>164</v>
      </c>
      <c r="B30" s="120" t="s">
        <v>18</v>
      </c>
      <c r="C30" s="15">
        <v>23400</v>
      </c>
      <c r="D30" s="16">
        <f>+C30/1000</f>
        <v>23.4</v>
      </c>
      <c r="E30" s="16"/>
      <c r="F30" s="7"/>
      <c r="G30" s="7"/>
      <c r="H30" s="7"/>
      <c r="I30" s="7"/>
      <c r="J30" s="7"/>
      <c r="K30" s="7"/>
      <c r="L30" s="7"/>
      <c r="M30" s="7"/>
      <c r="N30" s="7"/>
      <c r="O30" s="7"/>
      <c r="P30" s="7"/>
      <c r="Q30" s="7"/>
      <c r="R30" s="7"/>
      <c r="S30" s="7"/>
      <c r="T30" s="7"/>
      <c r="U30" s="7"/>
      <c r="V30" s="7"/>
      <c r="W30" s="7"/>
      <c r="X30" s="7"/>
      <c r="Y30" s="7"/>
      <c r="Z30" s="7"/>
    </row>
    <row r="31" spans="1:26" ht="15.75" customHeight="1" x14ac:dyDescent="0.25">
      <c r="A31" s="126" t="s">
        <v>363</v>
      </c>
      <c r="B31" s="119" t="s">
        <v>18</v>
      </c>
      <c r="C31" s="15">
        <v>16400</v>
      </c>
      <c r="D31" s="16">
        <f>+C31/1000</f>
        <v>16.399999999999999</v>
      </c>
      <c r="E31" s="14"/>
      <c r="F31" s="7"/>
      <c r="G31" s="7"/>
      <c r="H31" s="7"/>
      <c r="I31" s="7"/>
      <c r="J31" s="7"/>
      <c r="K31" s="7"/>
      <c r="L31" s="7"/>
      <c r="M31" s="7"/>
      <c r="N31" s="7"/>
      <c r="O31" s="7"/>
      <c r="P31" s="7"/>
      <c r="Q31" s="7"/>
      <c r="R31" s="7"/>
      <c r="S31" s="7"/>
      <c r="T31" s="7"/>
      <c r="U31" s="7"/>
      <c r="V31" s="7"/>
      <c r="W31" s="7"/>
      <c r="X31" s="7"/>
      <c r="Y31" s="7"/>
      <c r="Z31" s="7"/>
    </row>
    <row r="32" spans="1:26" ht="15.75" customHeight="1" x14ac:dyDescent="0.25">
      <c r="A32" s="125" t="s">
        <v>28</v>
      </c>
      <c r="B32" s="121" t="s">
        <v>13</v>
      </c>
      <c r="C32" s="20" t="s">
        <v>14</v>
      </c>
      <c r="D32" s="21" t="s">
        <v>15</v>
      </c>
      <c r="E32" s="22" t="s">
        <v>16</v>
      </c>
      <c r="F32" s="7"/>
      <c r="G32" s="7"/>
      <c r="H32" s="7"/>
      <c r="I32" s="7"/>
      <c r="J32" s="7"/>
      <c r="K32" s="7"/>
      <c r="L32" s="7"/>
      <c r="M32" s="7"/>
      <c r="N32" s="7"/>
      <c r="O32" s="7"/>
      <c r="P32" s="7"/>
      <c r="Q32" s="7"/>
      <c r="R32" s="7"/>
      <c r="S32" s="7"/>
      <c r="T32" s="7"/>
      <c r="U32" s="7"/>
      <c r="V32" s="7"/>
      <c r="W32" s="7"/>
      <c r="X32" s="7"/>
      <c r="Y32" s="7"/>
      <c r="Z32" s="7"/>
    </row>
    <row r="33" spans="1:26" ht="15" customHeight="1" x14ac:dyDescent="0.25">
      <c r="A33" s="126" t="s">
        <v>150</v>
      </c>
      <c r="B33" s="119" t="s">
        <v>9</v>
      </c>
      <c r="C33" s="15">
        <v>6500</v>
      </c>
      <c r="D33" s="16">
        <f>+C33/1000</f>
        <v>6.5</v>
      </c>
      <c r="E33" s="14"/>
      <c r="F33" s="7"/>
      <c r="G33" s="7"/>
      <c r="H33" s="7"/>
      <c r="I33" s="7"/>
      <c r="J33" s="7"/>
      <c r="K33" s="7"/>
      <c r="L33" s="7"/>
      <c r="M33" s="7"/>
      <c r="N33" s="7"/>
      <c r="O33" s="7"/>
      <c r="P33" s="7"/>
      <c r="Q33" s="7"/>
      <c r="R33" s="7"/>
      <c r="S33" s="7"/>
      <c r="T33" s="7"/>
      <c r="U33" s="7"/>
      <c r="V33" s="7"/>
      <c r="W33" s="7"/>
      <c r="X33" s="7"/>
      <c r="Y33" s="7"/>
      <c r="Z33" s="7"/>
    </row>
    <row r="34" spans="1:26" ht="15.75" customHeight="1" x14ac:dyDescent="0.25">
      <c r="A34" s="126" t="s">
        <v>152</v>
      </c>
      <c r="B34" s="119" t="s">
        <v>9</v>
      </c>
      <c r="C34" s="15">
        <v>6800</v>
      </c>
      <c r="D34" s="16">
        <f>+C34/1000</f>
        <v>6.8</v>
      </c>
      <c r="E34" s="14"/>
      <c r="F34" s="7"/>
      <c r="G34" s="7"/>
      <c r="H34" s="7"/>
      <c r="I34" s="7"/>
      <c r="J34" s="7"/>
      <c r="K34" s="7"/>
      <c r="L34" s="7"/>
      <c r="M34" s="7"/>
      <c r="N34" s="7"/>
      <c r="O34" s="7"/>
      <c r="P34" s="7"/>
      <c r="Q34" s="7"/>
      <c r="R34" s="7"/>
      <c r="S34" s="7"/>
      <c r="T34" s="7"/>
      <c r="U34" s="7"/>
      <c r="V34" s="7"/>
      <c r="W34" s="7"/>
      <c r="X34" s="7"/>
      <c r="Y34" s="7"/>
      <c r="Z34" s="7"/>
    </row>
    <row r="35" spans="1:26" ht="15.75" customHeight="1" x14ac:dyDescent="0.25">
      <c r="A35" s="126" t="s">
        <v>153</v>
      </c>
      <c r="B35" s="119" t="s">
        <v>9</v>
      </c>
      <c r="C35" s="15">
        <v>5700</v>
      </c>
      <c r="D35" s="16">
        <f>+C35/1000</f>
        <v>5.7</v>
      </c>
      <c r="E35" s="14"/>
      <c r="F35" s="7"/>
      <c r="G35" s="7"/>
      <c r="H35" s="7"/>
      <c r="I35" s="7"/>
      <c r="J35" s="7"/>
      <c r="K35" s="7"/>
      <c r="L35" s="7"/>
      <c r="M35" s="7"/>
      <c r="N35" s="7"/>
      <c r="O35" s="7"/>
      <c r="P35" s="7"/>
      <c r="Q35" s="7"/>
      <c r="R35" s="7"/>
      <c r="S35" s="7"/>
      <c r="T35" s="7"/>
      <c r="U35" s="7"/>
      <c r="V35" s="7"/>
      <c r="W35" s="7"/>
      <c r="X35" s="7"/>
      <c r="Y35" s="7"/>
      <c r="Z35" s="7"/>
    </row>
    <row r="36" spans="1:26" ht="15.75" customHeight="1" x14ac:dyDescent="0.25">
      <c r="A36" s="126" t="s">
        <v>163</v>
      </c>
      <c r="B36" s="119" t="s">
        <v>9</v>
      </c>
      <c r="C36" s="15">
        <v>2200</v>
      </c>
      <c r="D36" s="16">
        <f>+C36/250</f>
        <v>8.8000000000000007</v>
      </c>
      <c r="E36" s="14"/>
      <c r="F36" s="7"/>
      <c r="G36" s="7"/>
      <c r="H36" s="7"/>
      <c r="I36" s="7"/>
      <c r="J36" s="7"/>
      <c r="K36" s="7"/>
      <c r="L36" s="7"/>
      <c r="M36" s="7"/>
      <c r="N36" s="7"/>
      <c r="O36" s="7"/>
      <c r="P36" s="7"/>
      <c r="Q36" s="7"/>
      <c r="R36" s="7"/>
      <c r="S36" s="7"/>
      <c r="T36" s="7"/>
      <c r="U36" s="7"/>
      <c r="V36" s="7"/>
      <c r="W36" s="7"/>
      <c r="X36" s="7"/>
      <c r="Y36" s="7"/>
      <c r="Z36" s="7"/>
    </row>
    <row r="37" spans="1:26" ht="15.75" customHeight="1" x14ac:dyDescent="0.25">
      <c r="A37" s="126" t="s">
        <v>237</v>
      </c>
      <c r="B37" s="119" t="s">
        <v>9</v>
      </c>
      <c r="C37" s="15">
        <v>12000</v>
      </c>
      <c r="D37" s="16">
        <f>+C37/1000</f>
        <v>12</v>
      </c>
      <c r="E37" s="14"/>
      <c r="F37" s="7"/>
      <c r="G37" s="7"/>
      <c r="H37" s="7"/>
      <c r="I37" s="7"/>
      <c r="J37" s="7"/>
      <c r="K37" s="7"/>
      <c r="L37" s="7"/>
      <c r="M37" s="7"/>
      <c r="N37" s="7"/>
      <c r="O37" s="7"/>
      <c r="P37" s="7"/>
      <c r="Q37" s="7"/>
      <c r="R37" s="7"/>
      <c r="S37" s="7"/>
      <c r="T37" s="7"/>
      <c r="U37" s="7"/>
      <c r="V37" s="7"/>
      <c r="W37" s="7"/>
      <c r="X37" s="7"/>
      <c r="Y37" s="7"/>
      <c r="Z37" s="7"/>
    </row>
    <row r="38" spans="1:26" ht="15.75" customHeight="1" x14ac:dyDescent="0.25">
      <c r="A38" s="126" t="s">
        <v>238</v>
      </c>
      <c r="B38" s="119" t="s">
        <v>239</v>
      </c>
      <c r="C38" s="15">
        <v>1000</v>
      </c>
      <c r="D38" s="16">
        <f>+C38/10</f>
        <v>100</v>
      </c>
      <c r="E38" s="14"/>
      <c r="F38" s="7"/>
      <c r="G38" s="7"/>
      <c r="H38" s="7"/>
      <c r="I38" s="7"/>
      <c r="J38" s="7"/>
      <c r="K38" s="7"/>
      <c r="L38" s="7"/>
      <c r="M38" s="7"/>
      <c r="N38" s="7"/>
      <c r="O38" s="7"/>
      <c r="P38" s="7"/>
      <c r="Q38" s="7"/>
      <c r="R38" s="7"/>
      <c r="S38" s="7"/>
      <c r="T38" s="7"/>
      <c r="U38" s="7"/>
      <c r="V38" s="7"/>
      <c r="W38" s="7"/>
      <c r="X38" s="7"/>
      <c r="Y38" s="7"/>
      <c r="Z38" s="7"/>
    </row>
    <row r="39" spans="1:26" ht="15.75" customHeight="1" x14ac:dyDescent="0.25">
      <c r="A39" s="127" t="s">
        <v>240</v>
      </c>
      <c r="B39" s="120" t="s">
        <v>25</v>
      </c>
      <c r="C39" s="15">
        <v>13000</v>
      </c>
      <c r="D39" s="16">
        <f>+C39/30</f>
        <v>433.33333333333331</v>
      </c>
      <c r="E39" s="14"/>
      <c r="F39" s="7"/>
      <c r="G39" s="7"/>
      <c r="H39" s="7"/>
      <c r="I39" s="7"/>
      <c r="J39" s="7"/>
      <c r="K39" s="7"/>
      <c r="L39" s="7"/>
      <c r="M39" s="7"/>
      <c r="N39" s="7"/>
      <c r="O39" s="7"/>
      <c r="P39" s="7"/>
      <c r="Q39" s="7"/>
      <c r="R39" s="7"/>
      <c r="S39" s="7"/>
      <c r="T39" s="7"/>
      <c r="U39" s="7"/>
      <c r="V39" s="7"/>
      <c r="W39" s="7"/>
      <c r="X39" s="7"/>
      <c r="Y39" s="7"/>
      <c r="Z39" s="7"/>
    </row>
    <row r="40" spans="1:26" ht="15.75" customHeight="1" x14ac:dyDescent="0.25">
      <c r="A40" s="127" t="s">
        <v>241</v>
      </c>
      <c r="B40" s="120" t="s">
        <v>9</v>
      </c>
      <c r="C40" s="15">
        <v>14800</v>
      </c>
      <c r="D40" s="16">
        <f>+C40/500</f>
        <v>29.6</v>
      </c>
      <c r="E40" s="14"/>
      <c r="F40" s="7"/>
      <c r="G40" s="7"/>
      <c r="H40" s="7"/>
      <c r="I40" s="7"/>
      <c r="J40" s="7"/>
      <c r="K40" s="7"/>
      <c r="L40" s="7"/>
      <c r="M40" s="7"/>
      <c r="N40" s="7"/>
      <c r="O40" s="7"/>
      <c r="P40" s="7"/>
      <c r="Q40" s="7"/>
      <c r="R40" s="7"/>
      <c r="S40" s="7"/>
      <c r="T40" s="7"/>
      <c r="U40" s="7"/>
      <c r="V40" s="7"/>
      <c r="W40" s="7"/>
      <c r="X40" s="7"/>
      <c r="Y40" s="7"/>
      <c r="Z40" s="7"/>
    </row>
    <row r="41" spans="1:26" ht="15.75" customHeight="1" x14ac:dyDescent="0.25">
      <c r="A41" s="127" t="s">
        <v>242</v>
      </c>
      <c r="B41" s="120" t="s">
        <v>9</v>
      </c>
      <c r="C41" s="15">
        <v>3400</v>
      </c>
      <c r="D41" s="16">
        <f>+C41/200</f>
        <v>17</v>
      </c>
      <c r="E41" s="14"/>
      <c r="F41" s="7"/>
      <c r="G41" s="7"/>
      <c r="H41" s="7"/>
      <c r="I41" s="7"/>
      <c r="J41" s="7"/>
      <c r="K41" s="7"/>
      <c r="L41" s="7"/>
      <c r="M41" s="7"/>
      <c r="N41" s="7"/>
      <c r="O41" s="7"/>
      <c r="P41" s="7"/>
      <c r="Q41" s="7"/>
      <c r="R41" s="7"/>
      <c r="S41" s="7"/>
      <c r="T41" s="7"/>
      <c r="U41" s="7"/>
      <c r="V41" s="7"/>
      <c r="W41" s="7"/>
      <c r="X41" s="7"/>
      <c r="Y41" s="7"/>
      <c r="Z41" s="7"/>
    </row>
    <row r="42" spans="1:26" ht="15.75" customHeight="1" x14ac:dyDescent="0.25">
      <c r="A42" s="127" t="s">
        <v>243</v>
      </c>
      <c r="B42" s="120" t="s">
        <v>399</v>
      </c>
      <c r="C42" s="15">
        <v>3000</v>
      </c>
      <c r="D42" s="16">
        <f>+C42/250</f>
        <v>12</v>
      </c>
      <c r="E42" s="14"/>
      <c r="F42" s="7"/>
      <c r="G42" s="7"/>
      <c r="H42" s="7"/>
      <c r="I42" s="7"/>
      <c r="J42" s="7"/>
      <c r="K42" s="7"/>
      <c r="L42" s="7"/>
      <c r="M42" s="7"/>
      <c r="N42" s="7"/>
      <c r="O42" s="7"/>
      <c r="P42" s="7"/>
      <c r="Q42" s="7"/>
      <c r="R42" s="7"/>
      <c r="S42" s="7"/>
      <c r="T42" s="7"/>
      <c r="U42" s="7"/>
      <c r="V42" s="7"/>
      <c r="W42" s="7"/>
      <c r="X42" s="7"/>
      <c r="Y42" s="7"/>
      <c r="Z42" s="7"/>
    </row>
    <row r="43" spans="1:26" ht="15.75" customHeight="1" x14ac:dyDescent="0.25">
      <c r="A43" s="127" t="s">
        <v>246</v>
      </c>
      <c r="B43" s="120" t="s">
        <v>18</v>
      </c>
      <c r="C43" s="15">
        <v>2900</v>
      </c>
      <c r="D43" s="16">
        <f>+C43/1000</f>
        <v>2.9</v>
      </c>
      <c r="E43" s="14"/>
      <c r="F43" s="7"/>
      <c r="G43" s="7"/>
      <c r="H43" s="7"/>
      <c r="I43" s="7"/>
      <c r="J43" s="7"/>
      <c r="K43" s="7"/>
      <c r="L43" s="7"/>
      <c r="M43" s="7"/>
      <c r="N43" s="7"/>
      <c r="O43" s="7"/>
      <c r="P43" s="7"/>
      <c r="Q43" s="7"/>
      <c r="R43" s="7"/>
      <c r="S43" s="7"/>
      <c r="T43" s="7"/>
      <c r="U43" s="7"/>
      <c r="V43" s="7"/>
      <c r="W43" s="7"/>
      <c r="X43" s="7"/>
      <c r="Y43" s="7"/>
      <c r="Z43" s="7"/>
    </row>
    <row r="44" spans="1:26" ht="15" customHeight="1" x14ac:dyDescent="0.25">
      <c r="A44" s="127" t="s">
        <v>398</v>
      </c>
      <c r="B44" s="120">
        <v>125</v>
      </c>
      <c r="C44" s="15">
        <v>1100</v>
      </c>
      <c r="D44" s="16">
        <f>+C44/50</f>
        <v>22</v>
      </c>
      <c r="E44" s="14"/>
      <c r="F44" s="7"/>
      <c r="G44" s="7"/>
      <c r="H44" s="7"/>
      <c r="I44" s="7"/>
      <c r="J44" s="7"/>
      <c r="K44" s="7"/>
      <c r="L44" s="7"/>
      <c r="M44" s="7"/>
      <c r="N44" s="7"/>
      <c r="O44" s="7"/>
      <c r="P44" s="7"/>
      <c r="Q44" s="7"/>
      <c r="R44" s="7"/>
      <c r="S44" s="7"/>
      <c r="T44" s="7"/>
      <c r="U44" s="7"/>
      <c r="V44" s="7"/>
      <c r="W44" s="7"/>
      <c r="X44" s="7"/>
      <c r="Y44" s="7"/>
      <c r="Z44" s="7"/>
    </row>
    <row r="45" spans="1:26" ht="15.75" customHeight="1" x14ac:dyDescent="0.25">
      <c r="A45" s="127" t="s">
        <v>364</v>
      </c>
      <c r="B45" s="120" t="s">
        <v>12</v>
      </c>
      <c r="C45" s="15">
        <v>3400</v>
      </c>
      <c r="D45" s="16">
        <f>+C45/500</f>
        <v>6.8</v>
      </c>
      <c r="E45" s="14"/>
      <c r="F45" s="7"/>
      <c r="G45" s="7"/>
      <c r="H45" s="7"/>
      <c r="I45" s="7"/>
      <c r="J45" s="7"/>
      <c r="K45" s="7"/>
      <c r="L45" s="7"/>
      <c r="M45" s="7"/>
      <c r="N45" s="7"/>
      <c r="O45" s="7"/>
      <c r="P45" s="7"/>
      <c r="Q45" s="7"/>
      <c r="R45" s="7"/>
      <c r="S45" s="7"/>
      <c r="T45" s="7"/>
      <c r="U45" s="7"/>
      <c r="V45" s="7"/>
      <c r="W45" s="7"/>
      <c r="X45" s="7"/>
      <c r="Y45" s="7"/>
      <c r="Z45" s="7"/>
    </row>
    <row r="46" spans="1:26" ht="15.75" customHeight="1" x14ac:dyDescent="0.25">
      <c r="A46" s="127" t="s">
        <v>278</v>
      </c>
      <c r="B46" s="120" t="s">
        <v>18</v>
      </c>
      <c r="C46" s="15">
        <v>3200</v>
      </c>
      <c r="D46" s="16">
        <f>+C46/1000</f>
        <v>3.2</v>
      </c>
      <c r="E46" s="14"/>
      <c r="F46" s="7"/>
      <c r="G46" s="7"/>
      <c r="H46" s="7"/>
      <c r="I46" s="7"/>
      <c r="J46" s="7"/>
      <c r="K46" s="7"/>
      <c r="L46" s="7"/>
      <c r="M46" s="7"/>
      <c r="N46" s="7"/>
      <c r="O46" s="7"/>
      <c r="P46" s="7"/>
      <c r="Q46" s="7"/>
      <c r="R46" s="7"/>
      <c r="S46" s="7"/>
      <c r="T46" s="7"/>
      <c r="U46" s="7"/>
      <c r="V46" s="7"/>
      <c r="W46" s="7"/>
      <c r="X46" s="7"/>
      <c r="Y46" s="7"/>
      <c r="Z46" s="7"/>
    </row>
    <row r="47" spans="1:26" ht="15.75" customHeight="1" x14ac:dyDescent="0.25">
      <c r="A47" s="127" t="s">
        <v>277</v>
      </c>
      <c r="B47" s="120" t="s">
        <v>18</v>
      </c>
      <c r="C47" s="15">
        <v>5700</v>
      </c>
      <c r="D47" s="16">
        <f>+C47/1000</f>
        <v>5.7</v>
      </c>
      <c r="E47" s="14"/>
      <c r="F47" s="7"/>
      <c r="G47" s="7"/>
      <c r="H47" s="7"/>
      <c r="I47" s="7"/>
      <c r="J47" s="7"/>
      <c r="K47" s="7"/>
      <c r="L47" s="7"/>
      <c r="M47" s="7"/>
      <c r="N47" s="7"/>
      <c r="O47" s="7"/>
      <c r="P47" s="7"/>
      <c r="Q47" s="7"/>
      <c r="R47" s="7"/>
      <c r="S47" s="7"/>
      <c r="T47" s="7"/>
      <c r="U47" s="7"/>
      <c r="V47" s="7"/>
      <c r="W47" s="7"/>
      <c r="X47" s="7"/>
      <c r="Y47" s="7"/>
      <c r="Z47" s="7"/>
    </row>
    <row r="48" spans="1:26" ht="15" customHeight="1" x14ac:dyDescent="0.25">
      <c r="A48" s="127" t="s">
        <v>369</v>
      </c>
      <c r="B48" s="120" t="s">
        <v>18</v>
      </c>
      <c r="C48" s="15">
        <v>3700</v>
      </c>
      <c r="D48" s="16">
        <f>+C48/1000</f>
        <v>3.7</v>
      </c>
      <c r="E48" s="14"/>
      <c r="F48" s="7"/>
      <c r="G48" s="7"/>
      <c r="H48" s="7"/>
      <c r="I48" s="7"/>
      <c r="J48" s="7"/>
      <c r="K48" s="7"/>
      <c r="L48" s="7"/>
      <c r="M48" s="7"/>
      <c r="N48" s="7"/>
      <c r="O48" s="7"/>
      <c r="P48" s="7"/>
      <c r="Q48" s="7"/>
      <c r="R48" s="7"/>
      <c r="S48" s="7"/>
      <c r="T48" s="7"/>
      <c r="U48" s="7"/>
      <c r="V48" s="7"/>
      <c r="W48" s="7"/>
      <c r="X48" s="7"/>
      <c r="Y48" s="7"/>
      <c r="Z48" s="7"/>
    </row>
    <row r="49" spans="1:26" ht="15.75" customHeight="1" x14ac:dyDescent="0.25">
      <c r="A49" s="127" t="s">
        <v>370</v>
      </c>
      <c r="B49" s="120" t="s">
        <v>18</v>
      </c>
      <c r="C49" s="15">
        <v>4600</v>
      </c>
      <c r="D49" s="16">
        <f>+C49/1000</f>
        <v>4.5999999999999996</v>
      </c>
      <c r="E49" s="14"/>
      <c r="F49" s="7"/>
      <c r="G49" s="7"/>
      <c r="H49" s="7"/>
      <c r="I49" s="7"/>
      <c r="J49" s="7"/>
      <c r="K49" s="7"/>
      <c r="L49" s="7"/>
      <c r="M49" s="7"/>
      <c r="N49" s="7"/>
      <c r="O49" s="7"/>
      <c r="P49" s="7"/>
      <c r="Q49" s="7"/>
      <c r="R49" s="7"/>
      <c r="S49" s="7"/>
      <c r="T49" s="7"/>
      <c r="U49" s="7"/>
      <c r="V49" s="7"/>
      <c r="W49" s="7"/>
      <c r="X49" s="7"/>
      <c r="Y49" s="7"/>
      <c r="Z49" s="7"/>
    </row>
    <row r="50" spans="1:26" ht="15.75" customHeight="1" x14ac:dyDescent="0.25">
      <c r="A50" s="127" t="s">
        <v>372</v>
      </c>
      <c r="B50" s="120" t="s">
        <v>25</v>
      </c>
      <c r="C50" s="15">
        <v>2600</v>
      </c>
      <c r="D50" s="16">
        <f>+C50/1</f>
        <v>2600</v>
      </c>
      <c r="E50" s="14"/>
      <c r="F50" s="7"/>
      <c r="G50" s="7"/>
      <c r="H50" s="7"/>
      <c r="I50" s="7"/>
      <c r="J50" s="7"/>
      <c r="K50" s="7"/>
      <c r="L50" s="7"/>
      <c r="M50" s="7"/>
      <c r="N50" s="7"/>
      <c r="O50" s="7"/>
      <c r="P50" s="7"/>
      <c r="Q50" s="7"/>
      <c r="R50" s="7"/>
      <c r="S50" s="7"/>
      <c r="T50" s="7"/>
      <c r="U50" s="7"/>
      <c r="V50" s="7"/>
      <c r="W50" s="7"/>
      <c r="X50" s="7"/>
      <c r="Y50" s="7"/>
      <c r="Z50" s="7"/>
    </row>
    <row r="51" spans="1:26" ht="15.75" customHeight="1" x14ac:dyDescent="0.25">
      <c r="A51" s="127" t="s">
        <v>321</v>
      </c>
      <c r="B51" s="120" t="s">
        <v>18</v>
      </c>
      <c r="C51" s="15">
        <v>3700</v>
      </c>
      <c r="D51" s="16">
        <f>+C51/1000</f>
        <v>3.7</v>
      </c>
      <c r="E51" s="14"/>
      <c r="F51" s="7"/>
      <c r="G51" s="7"/>
      <c r="H51" s="7"/>
      <c r="I51" s="7"/>
      <c r="J51" s="7"/>
      <c r="K51" s="7"/>
      <c r="L51" s="7"/>
      <c r="M51" s="7"/>
      <c r="N51" s="7"/>
      <c r="O51" s="7"/>
      <c r="P51" s="7"/>
      <c r="Q51" s="7"/>
      <c r="R51" s="7"/>
      <c r="S51" s="7"/>
      <c r="T51" s="7"/>
      <c r="U51" s="7"/>
      <c r="V51" s="7"/>
      <c r="W51" s="7"/>
      <c r="X51" s="7"/>
      <c r="Y51" s="7"/>
      <c r="Z51" s="7"/>
    </row>
    <row r="52" spans="1:26" ht="15.75" customHeight="1" x14ac:dyDescent="0.25">
      <c r="A52" s="127" t="s">
        <v>400</v>
      </c>
      <c r="B52" s="120" t="s">
        <v>18</v>
      </c>
      <c r="C52" s="15">
        <v>3500</v>
      </c>
      <c r="D52" s="16">
        <f>+C52/1000</f>
        <v>3.5</v>
      </c>
      <c r="E52" s="14"/>
      <c r="F52" s="7"/>
      <c r="G52" s="7"/>
      <c r="H52" s="7"/>
      <c r="I52" s="7"/>
      <c r="J52" s="7"/>
      <c r="K52" s="7"/>
      <c r="L52" s="7"/>
      <c r="M52" s="7"/>
      <c r="N52" s="7"/>
      <c r="O52" s="7"/>
      <c r="P52" s="7"/>
      <c r="Q52" s="7"/>
      <c r="R52" s="7"/>
      <c r="S52" s="7"/>
      <c r="T52" s="7"/>
      <c r="U52" s="7"/>
      <c r="V52" s="7"/>
      <c r="W52" s="7"/>
      <c r="X52" s="7"/>
      <c r="Y52" s="7"/>
      <c r="Z52" s="7"/>
    </row>
    <row r="53" spans="1:26" ht="15.75" customHeight="1" x14ac:dyDescent="0.25">
      <c r="A53" s="127" t="s">
        <v>269</v>
      </c>
      <c r="B53" s="120" t="s">
        <v>18</v>
      </c>
      <c r="C53" s="15">
        <v>3200</v>
      </c>
      <c r="D53" s="16">
        <f>+C53/1000</f>
        <v>3.2</v>
      </c>
      <c r="E53" s="14"/>
      <c r="F53" s="7"/>
      <c r="G53" s="7"/>
      <c r="H53" s="7"/>
      <c r="I53" s="7"/>
      <c r="J53" s="7"/>
      <c r="K53" s="7"/>
      <c r="L53" s="7"/>
      <c r="M53" s="7"/>
      <c r="N53" s="7"/>
      <c r="O53" s="7"/>
      <c r="P53" s="7"/>
      <c r="Q53" s="7"/>
      <c r="R53" s="7"/>
      <c r="S53" s="7"/>
      <c r="T53" s="7"/>
      <c r="U53" s="7"/>
      <c r="V53" s="7"/>
      <c r="W53" s="7"/>
      <c r="X53" s="7"/>
      <c r="Y53" s="7"/>
      <c r="Z53" s="7"/>
    </row>
    <row r="54" spans="1:26" ht="15.75" customHeight="1" x14ac:dyDescent="0.25">
      <c r="A54" s="127" t="s">
        <v>377</v>
      </c>
      <c r="B54" s="120">
        <v>250</v>
      </c>
      <c r="C54" s="15">
        <v>5500</v>
      </c>
      <c r="D54" s="16">
        <f>+C54/250</f>
        <v>22</v>
      </c>
      <c r="E54" s="14"/>
      <c r="F54" s="7"/>
      <c r="G54" s="7"/>
      <c r="H54" s="7"/>
      <c r="I54" s="7"/>
      <c r="J54" s="7"/>
      <c r="K54" s="7"/>
      <c r="L54" s="7"/>
      <c r="M54" s="7"/>
      <c r="N54" s="7"/>
      <c r="O54" s="7"/>
      <c r="P54" s="7"/>
      <c r="Q54" s="7"/>
      <c r="R54" s="7"/>
      <c r="S54" s="7"/>
      <c r="T54" s="7"/>
      <c r="U54" s="7"/>
      <c r="V54" s="7"/>
      <c r="W54" s="7"/>
      <c r="X54" s="7"/>
      <c r="Y54" s="7"/>
      <c r="Z54" s="7"/>
    </row>
    <row r="55" spans="1:26" ht="15.75" customHeight="1" x14ac:dyDescent="0.25">
      <c r="A55" s="127" t="s">
        <v>296</v>
      </c>
      <c r="B55" s="120" t="s">
        <v>18</v>
      </c>
      <c r="C55" s="15">
        <v>6500</v>
      </c>
      <c r="D55" s="16">
        <f t="shared" ref="D55:D60" si="1">+C55/1000</f>
        <v>6.5</v>
      </c>
      <c r="E55" s="14"/>
      <c r="F55" s="7"/>
      <c r="G55" s="7"/>
      <c r="H55" s="7"/>
      <c r="I55" s="7"/>
      <c r="J55" s="7"/>
      <c r="K55" s="7"/>
      <c r="L55" s="7"/>
      <c r="M55" s="7"/>
      <c r="N55" s="7"/>
      <c r="O55" s="7"/>
      <c r="P55" s="7"/>
      <c r="Q55" s="7"/>
      <c r="R55" s="7"/>
      <c r="S55" s="7"/>
      <c r="T55" s="7"/>
      <c r="U55" s="7"/>
      <c r="V55" s="7"/>
      <c r="W55" s="7"/>
      <c r="X55" s="7"/>
      <c r="Y55" s="7"/>
      <c r="Z55" s="7"/>
    </row>
    <row r="56" spans="1:26" ht="15.75" customHeight="1" x14ac:dyDescent="0.25">
      <c r="A56" s="127" t="s">
        <v>320</v>
      </c>
      <c r="B56" s="120" t="s">
        <v>18</v>
      </c>
      <c r="C56" s="15">
        <v>5900</v>
      </c>
      <c r="D56" s="16">
        <f t="shared" si="1"/>
        <v>5.9</v>
      </c>
      <c r="E56" s="14"/>
      <c r="F56" s="7"/>
      <c r="G56" s="7"/>
      <c r="H56" s="7"/>
      <c r="I56" s="7"/>
      <c r="J56" s="7"/>
      <c r="K56" s="7"/>
      <c r="L56" s="7"/>
      <c r="M56" s="7"/>
      <c r="N56" s="7"/>
      <c r="O56" s="7"/>
      <c r="P56" s="7"/>
      <c r="Q56" s="7"/>
      <c r="R56" s="7"/>
      <c r="S56" s="7"/>
      <c r="T56" s="7"/>
      <c r="U56" s="7"/>
      <c r="V56" s="7"/>
      <c r="W56" s="7"/>
      <c r="X56" s="7"/>
      <c r="Y56" s="7"/>
      <c r="Z56" s="7"/>
    </row>
    <row r="57" spans="1:26" ht="15.75" customHeight="1" x14ac:dyDescent="0.25">
      <c r="A57" s="127" t="s">
        <v>381</v>
      </c>
      <c r="B57" s="120" t="s">
        <v>18</v>
      </c>
      <c r="C57" s="15">
        <v>5800</v>
      </c>
      <c r="D57" s="16">
        <f t="shared" si="1"/>
        <v>5.8</v>
      </c>
      <c r="E57" s="14"/>
      <c r="F57" s="7"/>
      <c r="G57" s="7"/>
      <c r="H57" s="7"/>
      <c r="I57" s="7"/>
      <c r="J57" s="7"/>
      <c r="K57" s="7"/>
      <c r="L57" s="7"/>
      <c r="M57" s="7"/>
      <c r="N57" s="7"/>
      <c r="O57" s="7"/>
      <c r="P57" s="7"/>
      <c r="Q57" s="7"/>
      <c r="R57" s="7"/>
      <c r="S57" s="7"/>
      <c r="T57" s="7"/>
      <c r="U57" s="7"/>
      <c r="V57" s="7"/>
      <c r="W57" s="7"/>
      <c r="X57" s="7"/>
      <c r="Y57" s="7"/>
      <c r="Z57" s="7"/>
    </row>
    <row r="58" spans="1:26" ht="15.75" customHeight="1" x14ac:dyDescent="0.25">
      <c r="A58" s="127" t="s">
        <v>325</v>
      </c>
      <c r="B58" s="120" t="s">
        <v>18</v>
      </c>
      <c r="C58" s="15">
        <v>7800</v>
      </c>
      <c r="D58" s="16">
        <f t="shared" si="1"/>
        <v>7.8</v>
      </c>
      <c r="E58" s="14"/>
      <c r="F58" s="7"/>
      <c r="G58" s="7"/>
      <c r="H58" s="7"/>
      <c r="I58" s="7"/>
      <c r="J58" s="7"/>
      <c r="K58" s="7"/>
      <c r="L58" s="7"/>
      <c r="M58" s="7"/>
      <c r="N58" s="7"/>
      <c r="O58" s="7"/>
      <c r="P58" s="7"/>
      <c r="Q58" s="7"/>
      <c r="R58" s="7"/>
      <c r="S58" s="7"/>
      <c r="T58" s="7"/>
      <c r="U58" s="7"/>
      <c r="V58" s="7"/>
      <c r="W58" s="7"/>
      <c r="X58" s="7"/>
      <c r="Y58" s="7"/>
      <c r="Z58" s="7"/>
    </row>
    <row r="59" spans="1:26" ht="15.75" customHeight="1" x14ac:dyDescent="0.25">
      <c r="A59" s="127" t="s">
        <v>197</v>
      </c>
      <c r="B59" s="120" t="s">
        <v>18</v>
      </c>
      <c r="C59" s="15">
        <v>7000</v>
      </c>
      <c r="D59" s="16">
        <f t="shared" si="1"/>
        <v>7</v>
      </c>
      <c r="E59" s="14"/>
      <c r="F59" s="7"/>
      <c r="G59" s="7"/>
      <c r="H59" s="7"/>
      <c r="I59" s="7"/>
      <c r="J59" s="7"/>
      <c r="K59" s="7"/>
      <c r="L59" s="7"/>
      <c r="M59" s="7"/>
      <c r="N59" s="7"/>
      <c r="O59" s="7"/>
      <c r="P59" s="7"/>
      <c r="Q59" s="7"/>
      <c r="R59" s="7"/>
      <c r="S59" s="7"/>
      <c r="T59" s="7"/>
      <c r="U59" s="7"/>
      <c r="V59" s="7"/>
      <c r="W59" s="7"/>
      <c r="X59" s="7"/>
      <c r="Y59" s="7"/>
      <c r="Z59" s="7"/>
    </row>
    <row r="60" spans="1:26" ht="15.75" customHeight="1" x14ac:dyDescent="0.25">
      <c r="A60" s="127" t="s">
        <v>249</v>
      </c>
      <c r="B60" s="120" t="s">
        <v>18</v>
      </c>
      <c r="C60" s="15">
        <v>10600</v>
      </c>
      <c r="D60" s="16">
        <f t="shared" si="1"/>
        <v>10.6</v>
      </c>
      <c r="E60" s="14"/>
      <c r="F60" s="7"/>
      <c r="G60" s="7"/>
      <c r="H60" s="7"/>
      <c r="I60" s="7"/>
      <c r="J60" s="7"/>
      <c r="K60" s="7"/>
      <c r="L60" s="7"/>
      <c r="M60" s="7"/>
      <c r="N60" s="7"/>
      <c r="O60" s="7"/>
      <c r="P60" s="7"/>
      <c r="Q60" s="7"/>
      <c r="R60" s="7"/>
      <c r="S60" s="7"/>
      <c r="T60" s="7"/>
      <c r="U60" s="7"/>
      <c r="V60" s="7"/>
      <c r="W60" s="7"/>
      <c r="X60" s="7"/>
      <c r="Y60" s="7"/>
      <c r="Z60" s="7"/>
    </row>
    <row r="61" spans="1:26" ht="15.75" customHeight="1" x14ac:dyDescent="0.25">
      <c r="A61" s="125" t="s">
        <v>29</v>
      </c>
      <c r="B61" s="121" t="s">
        <v>13</v>
      </c>
      <c r="C61" s="20" t="s">
        <v>14</v>
      </c>
      <c r="D61" s="21" t="s">
        <v>15</v>
      </c>
      <c r="E61" s="22" t="s">
        <v>16</v>
      </c>
      <c r="F61" s="7"/>
      <c r="G61" s="7"/>
      <c r="H61" s="7"/>
      <c r="I61" s="7"/>
      <c r="J61" s="7"/>
      <c r="K61" s="7"/>
      <c r="L61" s="7"/>
      <c r="M61" s="7"/>
      <c r="N61" s="7"/>
      <c r="O61" s="7"/>
      <c r="P61" s="7"/>
      <c r="Q61" s="7"/>
      <c r="R61" s="7"/>
      <c r="S61" s="7"/>
      <c r="T61" s="7"/>
      <c r="U61" s="7"/>
      <c r="V61" s="7"/>
      <c r="W61" s="7"/>
      <c r="X61" s="7"/>
      <c r="Y61" s="7"/>
      <c r="Z61" s="7"/>
    </row>
    <row r="62" spans="1:26" ht="15.75" customHeight="1" x14ac:dyDescent="0.25">
      <c r="A62" s="126" t="s">
        <v>147</v>
      </c>
      <c r="B62" s="119" t="s">
        <v>9</v>
      </c>
      <c r="C62" s="15">
        <v>1700</v>
      </c>
      <c r="D62" s="16">
        <f>+C62/500</f>
        <v>3.4</v>
      </c>
      <c r="E62" s="14"/>
      <c r="F62" s="7"/>
      <c r="G62" s="7"/>
      <c r="H62" s="7"/>
      <c r="I62" s="7"/>
      <c r="J62" s="7"/>
      <c r="K62" s="7"/>
      <c r="L62" s="7"/>
      <c r="M62" s="7"/>
      <c r="N62" s="7"/>
      <c r="O62" s="7"/>
      <c r="P62" s="7"/>
      <c r="Q62" s="7"/>
      <c r="R62" s="7"/>
      <c r="S62" s="7"/>
      <c r="T62" s="7"/>
      <c r="U62" s="7"/>
      <c r="V62" s="7"/>
      <c r="W62" s="7"/>
      <c r="X62" s="7"/>
      <c r="Y62" s="7"/>
      <c r="Z62" s="7"/>
    </row>
    <row r="63" spans="1:26" ht="15.75" customHeight="1" x14ac:dyDescent="0.25">
      <c r="A63" s="126" t="s">
        <v>148</v>
      </c>
      <c r="B63" s="119" t="s">
        <v>9</v>
      </c>
      <c r="C63" s="15">
        <v>1550</v>
      </c>
      <c r="D63" s="16">
        <f>+C63/30</f>
        <v>51.666666666666664</v>
      </c>
      <c r="E63" s="14"/>
      <c r="F63" s="7"/>
      <c r="G63" s="7"/>
      <c r="H63" s="7"/>
      <c r="I63" s="7"/>
      <c r="J63" s="7"/>
      <c r="K63" s="7"/>
      <c r="L63" s="7"/>
      <c r="M63" s="7"/>
      <c r="N63" s="7"/>
      <c r="O63" s="7"/>
      <c r="P63" s="7"/>
      <c r="Q63" s="7"/>
      <c r="R63" s="7"/>
      <c r="S63" s="7"/>
      <c r="T63" s="7"/>
      <c r="U63" s="7"/>
      <c r="V63" s="7"/>
      <c r="W63" s="7"/>
      <c r="X63" s="7"/>
      <c r="Y63" s="7"/>
      <c r="Z63" s="7"/>
    </row>
    <row r="64" spans="1:26" ht="15.75" customHeight="1" x14ac:dyDescent="0.25">
      <c r="A64" s="126" t="s">
        <v>172</v>
      </c>
      <c r="B64" s="119" t="s">
        <v>9</v>
      </c>
      <c r="C64" s="15">
        <v>4100</v>
      </c>
      <c r="D64" s="16">
        <f>+C64/20</f>
        <v>205</v>
      </c>
      <c r="E64" s="14"/>
      <c r="F64" s="7"/>
      <c r="G64" s="7"/>
      <c r="H64" s="7"/>
      <c r="I64" s="7"/>
      <c r="J64" s="7"/>
      <c r="K64" s="7"/>
      <c r="L64" s="7"/>
      <c r="M64" s="7"/>
      <c r="N64" s="7"/>
      <c r="O64" s="7"/>
      <c r="P64" s="7"/>
      <c r="Q64" s="7"/>
      <c r="R64" s="7"/>
      <c r="S64" s="7"/>
      <c r="T64" s="7"/>
      <c r="U64" s="7"/>
      <c r="V64" s="7"/>
      <c r="W64" s="7"/>
      <c r="X64" s="7"/>
      <c r="Y64" s="7"/>
      <c r="Z64" s="7"/>
    </row>
    <row r="65" spans="1:26" ht="15.75" customHeight="1" x14ac:dyDescent="0.25">
      <c r="A65" s="126" t="s">
        <v>173</v>
      </c>
      <c r="B65" s="119" t="s">
        <v>9</v>
      </c>
      <c r="C65" s="15">
        <v>1400</v>
      </c>
      <c r="D65" s="16">
        <f>+C65/10</f>
        <v>140</v>
      </c>
      <c r="E65" s="14"/>
      <c r="F65" s="7"/>
      <c r="G65" s="7"/>
      <c r="H65" s="7"/>
      <c r="I65" s="7"/>
      <c r="J65" s="7"/>
      <c r="K65" s="7"/>
      <c r="L65" s="7"/>
      <c r="M65" s="7"/>
      <c r="N65" s="7"/>
      <c r="O65" s="7"/>
      <c r="P65" s="7"/>
      <c r="Q65" s="7"/>
      <c r="R65" s="7"/>
      <c r="S65" s="7"/>
      <c r="T65" s="7"/>
      <c r="U65" s="7"/>
      <c r="V65" s="7"/>
      <c r="W65" s="7"/>
      <c r="X65" s="7"/>
      <c r="Y65" s="7"/>
      <c r="Z65" s="7"/>
    </row>
    <row r="66" spans="1:26" ht="15.75" customHeight="1" x14ac:dyDescent="0.25">
      <c r="A66" s="127" t="s">
        <v>282</v>
      </c>
      <c r="B66" s="120" t="s">
        <v>9</v>
      </c>
      <c r="C66" s="15">
        <v>6400</v>
      </c>
      <c r="D66" s="16">
        <f>+C66/5.67</f>
        <v>1128.7477954144622</v>
      </c>
      <c r="E66" s="14"/>
      <c r="F66" s="7"/>
      <c r="G66" s="7"/>
      <c r="H66" s="7"/>
      <c r="I66" s="7"/>
      <c r="J66" s="7"/>
      <c r="K66" s="7"/>
      <c r="L66" s="7"/>
      <c r="M66" s="7"/>
      <c r="N66" s="7"/>
      <c r="O66" s="7"/>
      <c r="P66" s="7"/>
      <c r="Q66" s="7"/>
      <c r="R66" s="7"/>
      <c r="S66" s="7"/>
      <c r="T66" s="7"/>
      <c r="U66" s="7"/>
      <c r="V66" s="7"/>
      <c r="W66" s="7"/>
      <c r="X66" s="7"/>
      <c r="Y66" s="7"/>
      <c r="Z66" s="7"/>
    </row>
    <row r="67" spans="1:26" ht="15.75" customHeight="1" x14ac:dyDescent="0.25">
      <c r="A67" s="127" t="s">
        <v>283</v>
      </c>
      <c r="B67" s="120" t="s">
        <v>9</v>
      </c>
      <c r="C67" s="15">
        <v>800</v>
      </c>
      <c r="D67" s="16">
        <f>+C67/10</f>
        <v>80</v>
      </c>
      <c r="E67" s="14"/>
      <c r="F67" s="7"/>
      <c r="G67" s="7"/>
      <c r="H67" s="7"/>
      <c r="I67" s="7"/>
      <c r="J67" s="7"/>
      <c r="K67" s="7"/>
      <c r="L67" s="7"/>
      <c r="M67" s="7"/>
      <c r="N67" s="7"/>
      <c r="O67" s="7"/>
      <c r="P67" s="7"/>
      <c r="Q67" s="7"/>
      <c r="R67" s="7"/>
      <c r="S67" s="7"/>
      <c r="T67" s="7"/>
      <c r="U67" s="7"/>
      <c r="V67" s="7"/>
      <c r="W67" s="7"/>
      <c r="X67" s="7"/>
      <c r="Y67" s="7"/>
      <c r="Z67" s="7"/>
    </row>
    <row r="68" spans="1:26" ht="15.75" customHeight="1" x14ac:dyDescent="0.25">
      <c r="A68" s="127" t="s">
        <v>305</v>
      </c>
      <c r="B68" s="120" t="s">
        <v>9</v>
      </c>
      <c r="C68" s="15">
        <v>1250</v>
      </c>
      <c r="D68" s="16">
        <f>+C68/10</f>
        <v>125</v>
      </c>
      <c r="E68" s="14"/>
      <c r="F68" s="7"/>
      <c r="G68" s="7"/>
      <c r="H68" s="7"/>
      <c r="I68" s="7"/>
      <c r="J68" s="7"/>
      <c r="K68" s="7"/>
      <c r="L68" s="7"/>
      <c r="M68" s="7"/>
      <c r="N68" s="7"/>
      <c r="O68" s="7"/>
      <c r="P68" s="7"/>
      <c r="Q68" s="7"/>
      <c r="R68" s="7"/>
      <c r="S68" s="7"/>
      <c r="T68" s="7"/>
      <c r="U68" s="7"/>
      <c r="V68" s="7"/>
      <c r="W68" s="7"/>
      <c r="X68" s="7"/>
      <c r="Y68" s="7"/>
      <c r="Z68" s="7"/>
    </row>
    <row r="69" spans="1:26" ht="15.75" customHeight="1" x14ac:dyDescent="0.25">
      <c r="A69" s="127" t="s">
        <v>351</v>
      </c>
      <c r="B69" s="120" t="s">
        <v>9</v>
      </c>
      <c r="C69" s="15">
        <v>2100</v>
      </c>
      <c r="D69" s="16">
        <f>+C69/20</f>
        <v>105</v>
      </c>
      <c r="E69" s="14"/>
      <c r="F69" s="7"/>
      <c r="G69" s="7"/>
      <c r="H69" s="7"/>
      <c r="I69" s="7"/>
      <c r="J69" s="7"/>
      <c r="K69" s="7"/>
      <c r="L69" s="7"/>
      <c r="M69" s="7"/>
      <c r="N69" s="7"/>
      <c r="O69" s="7"/>
      <c r="P69" s="7"/>
      <c r="Q69" s="7"/>
      <c r="R69" s="7"/>
      <c r="S69" s="7"/>
      <c r="T69" s="7"/>
      <c r="U69" s="7"/>
      <c r="V69" s="7"/>
      <c r="W69" s="7"/>
      <c r="X69" s="7"/>
      <c r="Y69" s="7"/>
      <c r="Z69" s="7"/>
    </row>
    <row r="70" spans="1:26" ht="15.75" customHeight="1" x14ac:dyDescent="0.25">
      <c r="A70" s="127"/>
      <c r="B70" s="120"/>
      <c r="C70" s="15"/>
      <c r="D70" s="16"/>
      <c r="E70" s="14"/>
      <c r="F70" s="7"/>
      <c r="G70" s="7"/>
      <c r="H70" s="7"/>
      <c r="I70" s="7"/>
      <c r="J70" s="7"/>
      <c r="K70" s="7"/>
      <c r="L70" s="7"/>
      <c r="M70" s="7"/>
      <c r="N70" s="7"/>
      <c r="O70" s="7"/>
      <c r="P70" s="7"/>
      <c r="Q70" s="7"/>
      <c r="R70" s="7"/>
      <c r="S70" s="7"/>
      <c r="T70" s="7"/>
      <c r="U70" s="7"/>
      <c r="V70" s="7"/>
      <c r="W70" s="7"/>
      <c r="X70" s="7"/>
      <c r="Y70" s="7"/>
      <c r="Z70" s="7"/>
    </row>
    <row r="71" spans="1:26" ht="15.75" customHeight="1" x14ac:dyDescent="0.25">
      <c r="A71" s="125" t="s">
        <v>30</v>
      </c>
      <c r="B71" s="121" t="s">
        <v>13</v>
      </c>
      <c r="C71" s="20" t="s">
        <v>14</v>
      </c>
      <c r="D71" s="21" t="s">
        <v>15</v>
      </c>
      <c r="E71" s="22" t="s">
        <v>16</v>
      </c>
      <c r="F71" s="7"/>
      <c r="G71" s="7"/>
      <c r="H71" s="7"/>
      <c r="I71" s="7"/>
      <c r="J71" s="7"/>
      <c r="K71" s="7"/>
      <c r="L71" s="7"/>
      <c r="M71" s="7"/>
      <c r="N71" s="7"/>
      <c r="O71" s="7"/>
      <c r="P71" s="7"/>
      <c r="Q71" s="7"/>
      <c r="R71" s="7"/>
      <c r="S71" s="7"/>
      <c r="T71" s="7"/>
      <c r="U71" s="7"/>
      <c r="V71" s="7"/>
      <c r="W71" s="7"/>
      <c r="X71" s="7"/>
      <c r="Y71" s="7"/>
      <c r="Z71" s="7"/>
    </row>
    <row r="72" spans="1:26" ht="15.75" customHeight="1" x14ac:dyDescent="0.25">
      <c r="A72" s="126" t="s">
        <v>149</v>
      </c>
      <c r="B72" s="119" t="s">
        <v>20</v>
      </c>
      <c r="C72" s="15">
        <v>3650</v>
      </c>
      <c r="D72" s="16">
        <f>+C72/1000</f>
        <v>3.65</v>
      </c>
      <c r="E72" s="14"/>
      <c r="F72" s="7"/>
      <c r="G72" s="7"/>
      <c r="H72" s="7"/>
      <c r="I72" s="7"/>
      <c r="J72" s="7"/>
      <c r="K72" s="7"/>
      <c r="L72" s="7"/>
      <c r="M72" s="7"/>
      <c r="N72" s="7"/>
      <c r="O72" s="7"/>
      <c r="P72" s="7"/>
      <c r="Q72" s="7"/>
      <c r="R72" s="7"/>
      <c r="S72" s="7"/>
      <c r="T72" s="7"/>
      <c r="U72" s="7"/>
      <c r="V72" s="7"/>
      <c r="W72" s="7"/>
      <c r="X72" s="7"/>
      <c r="Y72" s="7"/>
      <c r="Z72" s="7"/>
    </row>
    <row r="73" spans="1:26" ht="15.75" customHeight="1" x14ac:dyDescent="0.25">
      <c r="A73" s="126" t="s">
        <v>161</v>
      </c>
      <c r="B73" s="120" t="s">
        <v>9</v>
      </c>
      <c r="C73" s="15">
        <v>17600</v>
      </c>
      <c r="D73" s="16">
        <f>+C73/870</f>
        <v>20.229885057471265</v>
      </c>
      <c r="E73" s="14"/>
      <c r="F73" s="7"/>
      <c r="G73" s="7"/>
      <c r="H73" s="7"/>
      <c r="I73" s="7"/>
      <c r="J73" s="7"/>
      <c r="K73" s="7"/>
      <c r="L73" s="7"/>
      <c r="M73" s="7"/>
      <c r="N73" s="7"/>
      <c r="O73" s="7"/>
      <c r="P73" s="7"/>
      <c r="Q73" s="7"/>
      <c r="R73" s="7"/>
      <c r="S73" s="7"/>
      <c r="T73" s="7"/>
      <c r="U73" s="7"/>
      <c r="V73" s="7"/>
      <c r="W73" s="7"/>
      <c r="X73" s="7"/>
      <c r="Y73" s="7"/>
      <c r="Z73" s="7"/>
    </row>
    <row r="74" spans="1:26" ht="15.75" customHeight="1" x14ac:dyDescent="0.25">
      <c r="A74" s="127" t="s">
        <v>257</v>
      </c>
      <c r="B74" s="120" t="s">
        <v>12</v>
      </c>
      <c r="C74" s="15">
        <v>11700</v>
      </c>
      <c r="D74" s="16">
        <f>+C74/500</f>
        <v>23.4</v>
      </c>
      <c r="E74" s="14"/>
      <c r="F74" s="7"/>
      <c r="G74" s="7"/>
      <c r="H74" s="7"/>
      <c r="I74" s="7"/>
      <c r="J74" s="7"/>
      <c r="K74" s="7"/>
      <c r="L74" s="7"/>
      <c r="M74" s="7"/>
      <c r="N74" s="7"/>
      <c r="O74" s="7"/>
      <c r="P74" s="7"/>
      <c r="Q74" s="7"/>
      <c r="R74" s="7"/>
      <c r="S74" s="7"/>
      <c r="T74" s="7"/>
      <c r="U74" s="7"/>
      <c r="V74" s="7"/>
      <c r="W74" s="7"/>
      <c r="X74" s="7"/>
      <c r="Y74" s="7"/>
      <c r="Z74" s="7"/>
    </row>
    <row r="75" spans="1:26" ht="15.75" customHeight="1" x14ac:dyDescent="0.25">
      <c r="A75" s="127" t="s">
        <v>345</v>
      </c>
      <c r="B75" s="120" t="s">
        <v>9</v>
      </c>
      <c r="C75" s="15">
        <v>16100</v>
      </c>
      <c r="D75" s="16">
        <f>+C75/400</f>
        <v>40.25</v>
      </c>
      <c r="E75" s="14"/>
      <c r="F75" s="7"/>
      <c r="G75" s="7"/>
      <c r="H75" s="7"/>
      <c r="I75" s="7"/>
      <c r="J75" s="7"/>
      <c r="K75" s="7"/>
      <c r="L75" s="7"/>
      <c r="M75" s="7"/>
      <c r="N75" s="7"/>
      <c r="O75" s="7"/>
      <c r="P75" s="7"/>
      <c r="Q75" s="7"/>
      <c r="R75" s="7"/>
      <c r="S75" s="7"/>
      <c r="T75" s="7"/>
      <c r="U75" s="7"/>
      <c r="V75" s="7"/>
      <c r="W75" s="7"/>
      <c r="X75" s="7"/>
      <c r="Y75" s="7"/>
      <c r="Z75" s="7"/>
    </row>
    <row r="76" spans="1:26" ht="15.75" customHeight="1" x14ac:dyDescent="0.25">
      <c r="A76" s="127" t="s">
        <v>387</v>
      </c>
      <c r="B76" s="120" t="s">
        <v>365</v>
      </c>
      <c r="C76" s="15">
        <v>2500</v>
      </c>
      <c r="D76" s="16">
        <f>+C76/1</f>
        <v>2500</v>
      </c>
      <c r="E76" s="14"/>
      <c r="F76" s="7"/>
      <c r="G76" s="7"/>
      <c r="H76" s="7"/>
      <c r="I76" s="7"/>
      <c r="J76" s="7"/>
      <c r="K76" s="7"/>
      <c r="L76" s="7"/>
      <c r="M76" s="7"/>
      <c r="N76" s="7"/>
      <c r="O76" s="7"/>
      <c r="P76" s="7"/>
      <c r="Q76" s="7"/>
      <c r="R76" s="7"/>
      <c r="S76" s="7"/>
      <c r="T76" s="7"/>
      <c r="U76" s="7"/>
      <c r="V76" s="7"/>
      <c r="W76" s="7"/>
      <c r="X76" s="7"/>
      <c r="Y76" s="7"/>
      <c r="Z76" s="7"/>
    </row>
    <row r="77" spans="1:26" ht="15.75" customHeight="1" x14ac:dyDescent="0.25">
      <c r="A77" s="126"/>
      <c r="B77" s="119"/>
      <c r="C77" s="15"/>
      <c r="D77" s="16"/>
      <c r="E77" s="14"/>
      <c r="F77" s="7"/>
      <c r="G77" s="7"/>
      <c r="H77" s="7"/>
      <c r="I77" s="7"/>
      <c r="J77" s="7"/>
      <c r="K77" s="7"/>
      <c r="L77" s="7"/>
      <c r="M77" s="7"/>
      <c r="N77" s="7"/>
      <c r="O77" s="7"/>
      <c r="P77" s="7"/>
      <c r="Q77" s="7"/>
      <c r="R77" s="7"/>
      <c r="S77" s="7"/>
      <c r="T77" s="7"/>
      <c r="U77" s="7"/>
      <c r="V77" s="7"/>
      <c r="W77" s="7"/>
      <c r="X77" s="7"/>
      <c r="Y77" s="7"/>
      <c r="Z77" s="7"/>
    </row>
    <row r="78" spans="1:26" ht="15.75" customHeight="1" x14ac:dyDescent="0.25">
      <c r="A78" s="126"/>
      <c r="B78" s="119"/>
      <c r="C78" s="15"/>
      <c r="D78" s="16"/>
      <c r="E78" s="14"/>
      <c r="F78" s="7"/>
      <c r="G78" s="7"/>
      <c r="H78" s="7"/>
      <c r="I78" s="7"/>
      <c r="J78" s="7"/>
      <c r="K78" s="7"/>
      <c r="L78" s="7"/>
      <c r="M78" s="7"/>
      <c r="N78" s="7"/>
      <c r="O78" s="7"/>
      <c r="P78" s="7"/>
      <c r="Q78" s="7"/>
      <c r="R78" s="7"/>
      <c r="S78" s="7"/>
      <c r="T78" s="7"/>
      <c r="U78" s="7"/>
      <c r="V78" s="7"/>
      <c r="W78" s="7"/>
      <c r="X78" s="7"/>
      <c r="Y78" s="7"/>
      <c r="Z78" s="7"/>
    </row>
    <row r="79" spans="1:26" ht="15.75" customHeight="1" x14ac:dyDescent="0.25">
      <c r="A79" s="125" t="s">
        <v>31</v>
      </c>
      <c r="B79" s="121" t="s">
        <v>13</v>
      </c>
      <c r="C79" s="20" t="s">
        <v>14</v>
      </c>
      <c r="D79" s="21" t="s">
        <v>15</v>
      </c>
      <c r="E79" s="22" t="s">
        <v>16</v>
      </c>
      <c r="F79" s="7"/>
      <c r="G79" s="7"/>
      <c r="H79" s="7"/>
      <c r="I79" s="7"/>
      <c r="J79" s="7"/>
      <c r="K79" s="7"/>
      <c r="L79" s="7"/>
      <c r="M79" s="7"/>
      <c r="N79" s="7"/>
      <c r="O79" s="7"/>
      <c r="P79" s="7"/>
      <c r="Q79" s="7"/>
      <c r="R79" s="7"/>
      <c r="S79" s="7"/>
      <c r="T79" s="7"/>
      <c r="U79" s="7"/>
      <c r="V79" s="7"/>
      <c r="W79" s="7"/>
      <c r="X79" s="7"/>
      <c r="Y79" s="7"/>
      <c r="Z79" s="7"/>
    </row>
    <row r="80" spans="1:26" ht="15.75" customHeight="1" x14ac:dyDescent="0.25">
      <c r="A80" s="127" t="s">
        <v>176</v>
      </c>
      <c r="B80" s="119" t="s">
        <v>20</v>
      </c>
      <c r="C80" s="15">
        <v>6300</v>
      </c>
      <c r="D80" s="16">
        <f>+C80/1000</f>
        <v>6.3</v>
      </c>
      <c r="E80" s="14"/>
      <c r="F80" s="7"/>
      <c r="G80" s="7"/>
      <c r="H80" s="7"/>
      <c r="I80" s="7"/>
      <c r="J80" s="7"/>
      <c r="K80" s="7"/>
      <c r="L80" s="7"/>
      <c r="M80" s="7"/>
      <c r="N80" s="7"/>
      <c r="O80" s="7"/>
      <c r="P80" s="7"/>
      <c r="Q80" s="7"/>
      <c r="R80" s="7"/>
      <c r="S80" s="7"/>
      <c r="T80" s="7"/>
      <c r="U80" s="7"/>
      <c r="V80" s="7"/>
      <c r="W80" s="7"/>
      <c r="X80" s="7"/>
      <c r="Y80" s="7"/>
      <c r="Z80" s="7"/>
    </row>
    <row r="81" spans="1:26" ht="15.75" customHeight="1" x14ac:dyDescent="0.25">
      <c r="A81" s="127" t="s">
        <v>358</v>
      </c>
      <c r="B81" s="120" t="s">
        <v>9</v>
      </c>
      <c r="C81" s="15">
        <v>6100</v>
      </c>
      <c r="D81" s="16">
        <f>+C81/250</f>
        <v>24.4</v>
      </c>
      <c r="E81" s="14"/>
      <c r="F81" s="7"/>
      <c r="G81" s="7"/>
      <c r="H81" s="7"/>
      <c r="I81" s="7"/>
      <c r="J81" s="7"/>
      <c r="K81" s="7"/>
      <c r="L81" s="7"/>
      <c r="M81" s="7"/>
      <c r="N81" s="7"/>
      <c r="O81" s="7"/>
      <c r="P81" s="7"/>
      <c r="Q81" s="7"/>
      <c r="R81" s="7"/>
      <c r="S81" s="7"/>
      <c r="T81" s="7"/>
      <c r="U81" s="7"/>
      <c r="V81" s="7"/>
      <c r="W81" s="7"/>
      <c r="X81" s="7"/>
      <c r="Y81" s="7"/>
      <c r="Z81" s="7"/>
    </row>
    <row r="82" spans="1:26" ht="15.75" customHeight="1" x14ac:dyDescent="0.25">
      <c r="A82" s="127"/>
      <c r="B82" s="119"/>
      <c r="C82" s="15"/>
      <c r="D82" s="16"/>
      <c r="E82" s="14"/>
      <c r="F82" s="7"/>
      <c r="G82" s="7"/>
      <c r="H82" s="7"/>
      <c r="I82" s="7"/>
      <c r="J82" s="7"/>
      <c r="K82" s="7"/>
      <c r="L82" s="7"/>
      <c r="M82" s="7"/>
      <c r="N82" s="7"/>
      <c r="O82" s="7"/>
      <c r="P82" s="7"/>
      <c r="Q82" s="7"/>
      <c r="R82" s="7"/>
      <c r="S82" s="7"/>
      <c r="T82" s="7"/>
      <c r="U82" s="7"/>
      <c r="V82" s="7"/>
      <c r="W82" s="7"/>
      <c r="X82" s="7"/>
      <c r="Y82" s="7"/>
      <c r="Z82" s="7"/>
    </row>
    <row r="83" spans="1:26" ht="15.75" customHeight="1" x14ac:dyDescent="0.25">
      <c r="A83" s="126"/>
      <c r="B83" s="119"/>
      <c r="C83" s="15"/>
      <c r="D83" s="16"/>
      <c r="E83" s="14"/>
      <c r="F83" s="7"/>
      <c r="G83" s="7"/>
      <c r="H83" s="7"/>
      <c r="I83" s="7"/>
      <c r="J83" s="7"/>
      <c r="K83" s="7"/>
      <c r="L83" s="7"/>
      <c r="M83" s="7"/>
      <c r="N83" s="7"/>
      <c r="O83" s="7"/>
      <c r="P83" s="7"/>
      <c r="Q83" s="7"/>
      <c r="R83" s="7"/>
      <c r="S83" s="7"/>
      <c r="T83" s="7"/>
      <c r="U83" s="7"/>
      <c r="V83" s="7"/>
      <c r="W83" s="7"/>
      <c r="X83" s="7"/>
      <c r="Y83" s="7"/>
      <c r="Z83" s="7"/>
    </row>
    <row r="84" spans="1:26" ht="15.75" customHeight="1" x14ac:dyDescent="0.25">
      <c r="A84" s="125" t="s">
        <v>32</v>
      </c>
      <c r="B84" s="121" t="s">
        <v>13</v>
      </c>
      <c r="C84" s="20" t="s">
        <v>14</v>
      </c>
      <c r="D84" s="21" t="s">
        <v>15</v>
      </c>
      <c r="E84" s="22" t="s">
        <v>16</v>
      </c>
      <c r="F84" s="7"/>
      <c r="G84" s="7"/>
      <c r="H84" s="7"/>
      <c r="I84" s="7"/>
      <c r="J84" s="7"/>
      <c r="K84" s="7"/>
      <c r="L84" s="7"/>
      <c r="M84" s="7"/>
      <c r="N84" s="7"/>
      <c r="O84" s="7"/>
      <c r="P84" s="7"/>
      <c r="Q84" s="7"/>
      <c r="R84" s="7"/>
      <c r="S84" s="7"/>
      <c r="T84" s="7"/>
      <c r="U84" s="7"/>
      <c r="V84" s="7"/>
      <c r="W84" s="7"/>
      <c r="X84" s="7"/>
      <c r="Y84" s="7"/>
      <c r="Z84" s="7"/>
    </row>
    <row r="85" spans="1:26" ht="15.75" customHeight="1" x14ac:dyDescent="0.25">
      <c r="A85" s="127" t="s">
        <v>146</v>
      </c>
      <c r="B85" s="120" t="s">
        <v>9</v>
      </c>
      <c r="C85" s="15">
        <v>3700</v>
      </c>
      <c r="D85" s="16">
        <f>+C85/500</f>
        <v>7.4</v>
      </c>
      <c r="E85" s="14"/>
      <c r="F85" s="7"/>
      <c r="G85" s="7"/>
      <c r="H85" s="7"/>
      <c r="I85" s="7"/>
      <c r="J85" s="7"/>
      <c r="K85" s="7"/>
      <c r="L85" s="7"/>
      <c r="M85" s="7"/>
      <c r="N85" s="7"/>
      <c r="O85" s="7"/>
      <c r="P85" s="7"/>
      <c r="Q85" s="7"/>
      <c r="R85" s="7"/>
      <c r="S85" s="7"/>
      <c r="T85" s="7"/>
      <c r="U85" s="7"/>
      <c r="V85" s="7"/>
      <c r="W85" s="7"/>
      <c r="X85" s="7"/>
      <c r="Y85" s="7"/>
      <c r="Z85" s="7"/>
    </row>
    <row r="86" spans="1:26" ht="15.75" customHeight="1" x14ac:dyDescent="0.25">
      <c r="A86" s="127" t="s">
        <v>151</v>
      </c>
      <c r="B86" s="120" t="s">
        <v>9</v>
      </c>
      <c r="C86" s="15">
        <v>6600</v>
      </c>
      <c r="D86" s="16">
        <f>+C86/1000</f>
        <v>6.6</v>
      </c>
      <c r="E86" s="14"/>
      <c r="F86" s="7"/>
      <c r="G86" s="7"/>
      <c r="H86" s="7"/>
      <c r="I86" s="7"/>
      <c r="J86" s="7"/>
      <c r="K86" s="7"/>
      <c r="L86" s="7"/>
      <c r="M86" s="7"/>
      <c r="N86" s="7"/>
      <c r="O86" s="7"/>
      <c r="P86" s="7"/>
      <c r="Q86" s="7"/>
      <c r="R86" s="7"/>
      <c r="S86" s="7"/>
      <c r="T86" s="7"/>
      <c r="U86" s="7"/>
      <c r="V86" s="7"/>
      <c r="W86" s="7"/>
      <c r="X86" s="7"/>
      <c r="Y86" s="7"/>
      <c r="Z86" s="7"/>
    </row>
    <row r="87" spans="1:26" ht="15.75" customHeight="1" x14ac:dyDescent="0.25">
      <c r="A87" s="127" t="s">
        <v>165</v>
      </c>
      <c r="B87" s="120" t="s">
        <v>18</v>
      </c>
      <c r="C87" s="19">
        <v>69050</v>
      </c>
      <c r="D87" s="16">
        <f>+C87/4000</f>
        <v>17.262499999999999</v>
      </c>
      <c r="E87" s="14"/>
      <c r="F87" s="7"/>
      <c r="G87" s="7"/>
      <c r="H87" s="7"/>
      <c r="I87" s="7"/>
      <c r="J87" s="7"/>
      <c r="K87" s="7"/>
      <c r="L87" s="7"/>
      <c r="M87" s="7"/>
      <c r="N87" s="7"/>
      <c r="O87" s="7"/>
      <c r="P87" s="7"/>
      <c r="Q87" s="7"/>
      <c r="R87" s="7"/>
      <c r="S87" s="7"/>
      <c r="T87" s="7"/>
      <c r="U87" s="7"/>
      <c r="V87" s="7"/>
      <c r="W87" s="7"/>
      <c r="X87" s="7"/>
      <c r="Y87" s="7"/>
      <c r="Z87" s="7"/>
    </row>
    <row r="88" spans="1:26" ht="15.75" customHeight="1" x14ac:dyDescent="0.25">
      <c r="A88" s="127" t="s">
        <v>168</v>
      </c>
      <c r="B88" s="120" t="s">
        <v>9</v>
      </c>
      <c r="C88" s="15">
        <v>10602</v>
      </c>
      <c r="D88" s="16">
        <f>+C88/250</f>
        <v>42.408000000000001</v>
      </c>
      <c r="E88" s="14"/>
      <c r="F88" s="7"/>
      <c r="G88" s="7"/>
      <c r="H88" s="7"/>
      <c r="I88" s="7"/>
      <c r="J88" s="7"/>
      <c r="K88" s="7"/>
      <c r="L88" s="7"/>
      <c r="M88" s="7"/>
      <c r="N88" s="7"/>
      <c r="O88" s="7"/>
      <c r="P88" s="7"/>
      <c r="Q88" s="7"/>
      <c r="R88" s="7"/>
      <c r="S88" s="7"/>
      <c r="T88" s="7"/>
      <c r="U88" s="7"/>
      <c r="V88" s="7"/>
      <c r="W88" s="7"/>
      <c r="X88" s="7"/>
      <c r="Y88" s="7"/>
      <c r="Z88" s="7"/>
    </row>
    <row r="89" spans="1:26" ht="15.75" customHeight="1" x14ac:dyDescent="0.25">
      <c r="A89" s="126" t="s">
        <v>169</v>
      </c>
      <c r="B89" s="119" t="s">
        <v>18</v>
      </c>
      <c r="C89" s="15">
        <v>4000</v>
      </c>
      <c r="D89" s="16">
        <f>+C89/1000</f>
        <v>4</v>
      </c>
      <c r="E89" s="14"/>
      <c r="F89" s="7"/>
      <c r="G89" s="7"/>
      <c r="H89" s="7"/>
      <c r="I89" s="7"/>
      <c r="J89" s="7"/>
      <c r="K89" s="7"/>
      <c r="L89" s="7"/>
      <c r="M89" s="7"/>
      <c r="N89" s="7"/>
      <c r="O89" s="7"/>
      <c r="P89" s="7"/>
      <c r="Q89" s="7"/>
      <c r="R89" s="7"/>
      <c r="S89" s="7"/>
      <c r="T89" s="7"/>
      <c r="U89" s="7"/>
      <c r="V89" s="7"/>
      <c r="W89" s="7"/>
      <c r="X89" s="7"/>
      <c r="Y89" s="7"/>
      <c r="Z89" s="7"/>
    </row>
    <row r="90" spans="1:26" ht="15.75" customHeight="1" x14ac:dyDescent="0.25">
      <c r="A90" s="127" t="s">
        <v>311</v>
      </c>
      <c r="B90" s="119" t="s">
        <v>20</v>
      </c>
      <c r="C90" s="15">
        <v>22500</v>
      </c>
      <c r="D90" s="16">
        <f>+C90/2000</f>
        <v>11.25</v>
      </c>
      <c r="E90" s="14"/>
      <c r="F90" s="7"/>
      <c r="G90" s="7"/>
      <c r="H90" s="7"/>
      <c r="I90" s="7"/>
      <c r="J90" s="7"/>
      <c r="K90" s="7"/>
      <c r="L90" s="7"/>
      <c r="M90" s="7"/>
      <c r="N90" s="7"/>
      <c r="O90" s="7"/>
      <c r="P90" s="7"/>
      <c r="Q90" s="7"/>
      <c r="R90" s="7"/>
      <c r="S90" s="7"/>
      <c r="T90" s="7"/>
      <c r="U90" s="7"/>
      <c r="V90" s="7"/>
      <c r="W90" s="7"/>
      <c r="X90" s="7"/>
      <c r="Y90" s="7"/>
      <c r="Z90" s="7"/>
    </row>
    <row r="91" spans="1:26" ht="15.75" customHeight="1" x14ac:dyDescent="0.25">
      <c r="A91" s="126" t="s">
        <v>170</v>
      </c>
      <c r="B91" s="119" t="s">
        <v>9</v>
      </c>
      <c r="C91" s="15">
        <v>3200</v>
      </c>
      <c r="D91" s="16">
        <f>+C91/500</f>
        <v>6.4</v>
      </c>
      <c r="E91" s="14"/>
      <c r="F91" s="7"/>
      <c r="G91" s="7"/>
      <c r="H91" s="7"/>
      <c r="I91" s="7"/>
      <c r="J91" s="7"/>
      <c r="K91" s="7"/>
      <c r="L91" s="7"/>
      <c r="M91" s="7"/>
      <c r="N91" s="7"/>
      <c r="O91" s="7"/>
      <c r="P91" s="7"/>
      <c r="Q91" s="7"/>
      <c r="R91" s="7"/>
      <c r="S91" s="7"/>
      <c r="T91" s="7"/>
      <c r="U91" s="7"/>
      <c r="V91" s="7"/>
      <c r="W91" s="7"/>
      <c r="X91" s="7"/>
      <c r="Y91" s="7"/>
      <c r="Z91" s="7"/>
    </row>
    <row r="92" spans="1:26" ht="15.75" customHeight="1" x14ac:dyDescent="0.25">
      <c r="A92" s="126" t="s">
        <v>171</v>
      </c>
      <c r="B92" s="119" t="s">
        <v>9</v>
      </c>
      <c r="C92" s="15">
        <v>11250</v>
      </c>
      <c r="D92" s="16">
        <f>+C92/2500</f>
        <v>4.5</v>
      </c>
      <c r="E92" s="14"/>
      <c r="F92" s="7"/>
      <c r="G92" s="7"/>
      <c r="H92" s="7"/>
      <c r="I92" s="7"/>
      <c r="J92" s="7"/>
      <c r="K92" s="7"/>
      <c r="L92" s="7"/>
      <c r="M92" s="7"/>
      <c r="N92" s="7"/>
      <c r="O92" s="7"/>
      <c r="P92" s="7"/>
      <c r="Q92" s="7"/>
      <c r="R92" s="7"/>
      <c r="S92" s="7"/>
      <c r="T92" s="7"/>
      <c r="U92" s="7"/>
      <c r="V92" s="7"/>
      <c r="W92" s="7"/>
      <c r="X92" s="7"/>
      <c r="Y92" s="7"/>
      <c r="Z92" s="7"/>
    </row>
    <row r="93" spans="1:26" ht="15.75" customHeight="1" x14ac:dyDescent="0.25">
      <c r="A93" s="126" t="s">
        <v>174</v>
      </c>
      <c r="B93" s="119" t="s">
        <v>9</v>
      </c>
      <c r="C93" s="15">
        <v>5450</v>
      </c>
      <c r="D93" s="16">
        <f>+C93/500</f>
        <v>10.9</v>
      </c>
      <c r="E93" s="14"/>
      <c r="F93" s="7"/>
      <c r="G93" s="7"/>
      <c r="H93" s="7"/>
      <c r="I93" s="7"/>
      <c r="J93" s="7"/>
      <c r="K93" s="7"/>
      <c r="L93" s="7"/>
      <c r="M93" s="7"/>
      <c r="N93" s="7"/>
      <c r="O93" s="7"/>
      <c r="P93" s="7"/>
      <c r="Q93" s="7"/>
      <c r="R93" s="7"/>
      <c r="S93" s="7"/>
      <c r="T93" s="7"/>
      <c r="U93" s="7"/>
      <c r="V93" s="7"/>
      <c r="W93" s="7"/>
      <c r="X93" s="7"/>
      <c r="Y93" s="7"/>
      <c r="Z93" s="7"/>
    </row>
    <row r="94" spans="1:26" ht="15.75" customHeight="1" x14ac:dyDescent="0.25">
      <c r="A94" s="126" t="s">
        <v>175</v>
      </c>
      <c r="B94" s="119" t="s">
        <v>9</v>
      </c>
      <c r="C94" s="15">
        <v>16900</v>
      </c>
      <c r="D94" s="16">
        <f>+C94/500</f>
        <v>33.799999999999997</v>
      </c>
      <c r="E94" s="14"/>
      <c r="F94" s="7"/>
      <c r="G94" s="7"/>
      <c r="H94" s="7"/>
      <c r="I94" s="7"/>
      <c r="J94" s="7"/>
      <c r="K94" s="7"/>
      <c r="L94" s="7"/>
      <c r="M94" s="7"/>
      <c r="N94" s="7"/>
      <c r="O94" s="7"/>
      <c r="P94" s="7"/>
      <c r="Q94" s="7"/>
      <c r="R94" s="7"/>
      <c r="S94" s="7"/>
      <c r="T94" s="7"/>
      <c r="U94" s="7"/>
      <c r="V94" s="7"/>
      <c r="W94" s="7"/>
      <c r="X94" s="7"/>
      <c r="Y94" s="7"/>
      <c r="Z94" s="7"/>
    </row>
    <row r="95" spans="1:26" ht="15.75" customHeight="1" x14ac:dyDescent="0.25">
      <c r="A95" s="126" t="s">
        <v>250</v>
      </c>
      <c r="B95" s="120" t="s">
        <v>18</v>
      </c>
      <c r="C95" s="15">
        <v>7400</v>
      </c>
      <c r="D95" s="16">
        <f>+C95/3000</f>
        <v>2.4666666666666668</v>
      </c>
      <c r="E95" s="14"/>
      <c r="F95" s="23"/>
      <c r="G95" s="7"/>
      <c r="H95" s="7"/>
      <c r="I95" s="7"/>
      <c r="J95" s="7"/>
      <c r="K95" s="7"/>
      <c r="L95" s="7"/>
      <c r="M95" s="7"/>
      <c r="N95" s="7"/>
      <c r="O95" s="7"/>
      <c r="P95" s="7"/>
      <c r="Q95" s="7"/>
      <c r="R95" s="7"/>
      <c r="S95" s="7"/>
      <c r="T95" s="7"/>
      <c r="U95" s="7"/>
      <c r="V95" s="7"/>
      <c r="W95" s="7"/>
      <c r="X95" s="7"/>
      <c r="Y95" s="7"/>
      <c r="Z95" s="7"/>
    </row>
    <row r="96" spans="1:26" ht="15.75" customHeight="1" x14ac:dyDescent="0.25">
      <c r="A96" s="127" t="s">
        <v>254</v>
      </c>
      <c r="B96" s="120" t="s">
        <v>12</v>
      </c>
      <c r="C96" s="15">
        <v>1700</v>
      </c>
      <c r="D96" s="16">
        <f>+C96/500</f>
        <v>3.4</v>
      </c>
      <c r="E96" s="14"/>
      <c r="F96" s="23"/>
      <c r="G96" s="7"/>
      <c r="H96" s="7"/>
      <c r="I96" s="7"/>
      <c r="J96" s="7"/>
      <c r="K96" s="7"/>
      <c r="L96" s="7"/>
      <c r="M96" s="7"/>
      <c r="N96" s="7"/>
      <c r="O96" s="7"/>
      <c r="P96" s="7"/>
      <c r="Q96" s="7"/>
      <c r="R96" s="7"/>
      <c r="S96" s="7"/>
      <c r="T96" s="7"/>
      <c r="U96" s="7"/>
      <c r="V96" s="7"/>
      <c r="W96" s="7"/>
      <c r="X96" s="7"/>
      <c r="Y96" s="7"/>
      <c r="Z96" s="7"/>
    </row>
    <row r="97" spans="1:26" ht="15.75" customHeight="1" x14ac:dyDescent="0.25">
      <c r="A97" s="127" t="s">
        <v>255</v>
      </c>
      <c r="B97" s="120" t="s">
        <v>9</v>
      </c>
      <c r="C97" s="15">
        <v>11700</v>
      </c>
      <c r="D97" s="16">
        <f>+C97/300</f>
        <v>39</v>
      </c>
      <c r="E97" s="14"/>
      <c r="F97" s="23"/>
      <c r="G97" s="7"/>
      <c r="H97" s="7"/>
      <c r="I97" s="7"/>
      <c r="J97" s="7"/>
      <c r="K97" s="7"/>
      <c r="L97" s="7"/>
      <c r="M97" s="7"/>
      <c r="N97" s="7"/>
      <c r="O97" s="7"/>
      <c r="P97" s="7"/>
      <c r="Q97" s="7"/>
      <c r="R97" s="7"/>
      <c r="S97" s="7"/>
      <c r="T97" s="7"/>
      <c r="U97" s="7"/>
      <c r="V97" s="7"/>
      <c r="W97" s="7"/>
      <c r="X97" s="7"/>
      <c r="Y97" s="7"/>
      <c r="Z97" s="7"/>
    </row>
    <row r="98" spans="1:26" ht="15.75" customHeight="1" x14ac:dyDescent="0.25">
      <c r="A98" s="127" t="s">
        <v>366</v>
      </c>
      <c r="B98" s="120" t="s">
        <v>9</v>
      </c>
      <c r="C98" s="15">
        <v>1900</v>
      </c>
      <c r="D98" s="16">
        <f>+C98/20</f>
        <v>95</v>
      </c>
      <c r="E98" s="14"/>
      <c r="F98" s="7"/>
      <c r="G98" s="7"/>
      <c r="H98" s="7"/>
      <c r="I98" s="7"/>
      <c r="J98" s="7"/>
      <c r="K98" s="7"/>
      <c r="L98" s="7"/>
      <c r="M98" s="7"/>
      <c r="N98" s="7"/>
      <c r="O98" s="7"/>
      <c r="P98" s="7"/>
      <c r="Q98" s="7"/>
      <c r="R98" s="7"/>
      <c r="S98" s="7"/>
      <c r="T98" s="7"/>
      <c r="U98" s="7"/>
      <c r="V98" s="7"/>
      <c r="W98" s="7"/>
      <c r="X98" s="7"/>
      <c r="Y98" s="7"/>
      <c r="Z98" s="7"/>
    </row>
    <row r="99" spans="1:26" ht="15.75" customHeight="1" x14ac:dyDescent="0.25">
      <c r="A99" s="127" t="s">
        <v>368</v>
      </c>
      <c r="B99" s="120" t="s">
        <v>9</v>
      </c>
      <c r="C99" s="15">
        <v>6800</v>
      </c>
      <c r="D99" s="16">
        <f>+C99/50</f>
        <v>136</v>
      </c>
      <c r="E99" s="14"/>
      <c r="F99" s="7"/>
      <c r="G99" s="7"/>
      <c r="H99" s="7"/>
      <c r="I99" s="7"/>
      <c r="J99" s="7"/>
      <c r="K99" s="7"/>
      <c r="L99" s="7"/>
      <c r="M99" s="7"/>
      <c r="N99" s="7"/>
      <c r="O99" s="7"/>
      <c r="P99" s="7"/>
      <c r="Q99" s="7"/>
      <c r="R99" s="7"/>
      <c r="S99" s="7"/>
      <c r="T99" s="7"/>
      <c r="U99" s="7"/>
      <c r="V99" s="7"/>
      <c r="W99" s="7"/>
      <c r="X99" s="7"/>
      <c r="Y99" s="7"/>
      <c r="Z99" s="7"/>
    </row>
    <row r="100" spans="1:26" ht="15.75" customHeight="1" x14ac:dyDescent="0.25">
      <c r="A100" s="127" t="s">
        <v>317</v>
      </c>
      <c r="B100" s="119" t="s">
        <v>431</v>
      </c>
      <c r="C100" s="15">
        <v>4500</v>
      </c>
      <c r="D100" s="16">
        <f>+C100/20</f>
        <v>225</v>
      </c>
      <c r="E100" s="14"/>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25">
      <c r="A101" s="127" t="s">
        <v>371</v>
      </c>
      <c r="B101" s="120" t="s">
        <v>9</v>
      </c>
      <c r="C101" s="15">
        <v>7900</v>
      </c>
      <c r="D101" s="16">
        <f>+C101/16</f>
        <v>493.75</v>
      </c>
      <c r="E101" s="14"/>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25">
      <c r="A102" s="127" t="s">
        <v>373</v>
      </c>
      <c r="B102" s="120" t="s">
        <v>9</v>
      </c>
      <c r="C102" s="15">
        <v>99200</v>
      </c>
      <c r="D102" s="16">
        <f>+C102/10000</f>
        <v>9.92</v>
      </c>
      <c r="E102" s="14"/>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25">
      <c r="A103" s="127" t="s">
        <v>288</v>
      </c>
      <c r="B103" s="120" t="s">
        <v>25</v>
      </c>
      <c r="C103" s="15">
        <v>2500</v>
      </c>
      <c r="D103" s="16">
        <f>+C103/1</f>
        <v>2500</v>
      </c>
      <c r="E103" s="14"/>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25">
      <c r="A104" s="127" t="s">
        <v>374</v>
      </c>
      <c r="B104" s="120" t="s">
        <v>25</v>
      </c>
      <c r="C104" s="15">
        <v>7818</v>
      </c>
      <c r="D104" s="16">
        <f>+C104/100</f>
        <v>78.180000000000007</v>
      </c>
      <c r="E104" s="14"/>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25">
      <c r="A105" s="127" t="s">
        <v>313</v>
      </c>
      <c r="B105" s="120" t="s">
        <v>9</v>
      </c>
      <c r="C105" s="15">
        <v>10700</v>
      </c>
      <c r="D105" s="16">
        <f>+C105/380</f>
        <v>28.157894736842106</v>
      </c>
      <c r="E105" s="14"/>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25">
      <c r="A106" s="127" t="s">
        <v>375</v>
      </c>
      <c r="B106" s="120" t="s">
        <v>376</v>
      </c>
      <c r="C106" s="15"/>
      <c r="D106" s="16"/>
      <c r="E106" s="14"/>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25">
      <c r="A107" s="127" t="s">
        <v>401</v>
      </c>
      <c r="B107" s="120" t="s">
        <v>9</v>
      </c>
      <c r="C107" s="15">
        <v>6400</v>
      </c>
      <c r="D107" s="16">
        <f>+C107/20</f>
        <v>320</v>
      </c>
      <c r="E107" s="14"/>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25">
      <c r="A108" s="126" t="s">
        <v>427</v>
      </c>
      <c r="B108" s="120" t="s">
        <v>25</v>
      </c>
      <c r="C108" s="15">
        <v>40200</v>
      </c>
      <c r="D108" s="16">
        <f>+C108/12</f>
        <v>3350</v>
      </c>
      <c r="E108" s="14"/>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25">
      <c r="A109" s="127" t="s">
        <v>307</v>
      </c>
      <c r="B109" s="120" t="s">
        <v>402</v>
      </c>
      <c r="C109" s="15">
        <v>6400</v>
      </c>
      <c r="D109" s="16">
        <f>+C109/1000</f>
        <v>6.4</v>
      </c>
      <c r="E109" s="14"/>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25">
      <c r="A110" s="127" t="s">
        <v>379</v>
      </c>
      <c r="B110" s="120" t="s">
        <v>20</v>
      </c>
      <c r="C110" s="15">
        <v>5400</v>
      </c>
      <c r="D110" s="16">
        <f>+C110/180</f>
        <v>30</v>
      </c>
      <c r="E110" s="14"/>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25">
      <c r="A111" s="127" t="s">
        <v>261</v>
      </c>
      <c r="B111" s="120" t="s">
        <v>25</v>
      </c>
      <c r="C111" s="15">
        <v>10820</v>
      </c>
      <c r="D111" s="16">
        <f>+C111/50</f>
        <v>216.4</v>
      </c>
      <c r="E111" s="14"/>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25">
      <c r="A112" s="127" t="s">
        <v>192</v>
      </c>
      <c r="B112" s="120" t="s">
        <v>9</v>
      </c>
      <c r="C112" s="15">
        <v>7700</v>
      </c>
      <c r="D112" s="16">
        <f>+C112/500</f>
        <v>15.4</v>
      </c>
      <c r="E112" s="14"/>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25">
      <c r="A113" s="127" t="s">
        <v>203</v>
      </c>
      <c r="B113" s="120" t="s">
        <v>9</v>
      </c>
      <c r="C113" s="15">
        <v>7530</v>
      </c>
      <c r="D113" s="16">
        <f>+C113/500</f>
        <v>15.06</v>
      </c>
      <c r="E113" s="14"/>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25">
      <c r="A114" s="127" t="s">
        <v>342</v>
      </c>
      <c r="B114" s="120" t="s">
        <v>9</v>
      </c>
      <c r="C114" s="15">
        <v>29000</v>
      </c>
      <c r="D114" s="16">
        <f>+C114/400</f>
        <v>72.5</v>
      </c>
      <c r="E114" s="14"/>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25">
      <c r="A115" s="127" t="s">
        <v>388</v>
      </c>
      <c r="B115" s="120" t="s">
        <v>20</v>
      </c>
      <c r="C115" s="15">
        <v>23000</v>
      </c>
      <c r="D115" s="16">
        <f>+C115/750</f>
        <v>30.666666666666668</v>
      </c>
      <c r="E115" s="14"/>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25">
      <c r="A116" s="127" t="s">
        <v>351</v>
      </c>
      <c r="B116" s="120" t="s">
        <v>9</v>
      </c>
      <c r="C116" s="15">
        <v>5800</v>
      </c>
      <c r="D116" s="16">
        <f>+C116/125</f>
        <v>46.4</v>
      </c>
      <c r="E116" s="14"/>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25">
      <c r="A117" s="127" t="s">
        <v>403</v>
      </c>
      <c r="B117" s="120" t="s">
        <v>20</v>
      </c>
      <c r="C117" s="15">
        <v>6700</v>
      </c>
      <c r="D117" s="16">
        <f>+C117/500</f>
        <v>13.4</v>
      </c>
      <c r="E117" s="14"/>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25">
      <c r="A118" s="127" t="s">
        <v>291</v>
      </c>
      <c r="B118" s="120" t="s">
        <v>9</v>
      </c>
      <c r="C118" s="15">
        <v>7400</v>
      </c>
      <c r="D118" s="16">
        <f>+C118/500</f>
        <v>14.8</v>
      </c>
      <c r="E118" s="14"/>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25">
      <c r="A119" s="127" t="s">
        <v>408</v>
      </c>
      <c r="B119" s="120" t="s">
        <v>18</v>
      </c>
      <c r="C119" s="15">
        <v>13000</v>
      </c>
      <c r="D119" s="16">
        <f>+C119/1000</f>
        <v>13</v>
      </c>
      <c r="E119" s="14"/>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25">
      <c r="A120" s="127" t="s">
        <v>188</v>
      </c>
      <c r="B120" s="120" t="s">
        <v>12</v>
      </c>
      <c r="C120" s="15">
        <v>13000</v>
      </c>
      <c r="D120" s="16">
        <f>+C120/500</f>
        <v>26</v>
      </c>
      <c r="E120" s="14"/>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25">
      <c r="A121" s="127" t="s">
        <v>328</v>
      </c>
      <c r="B121" s="120" t="s">
        <v>9</v>
      </c>
      <c r="C121" s="15">
        <v>3500</v>
      </c>
      <c r="D121" s="16">
        <f>+C121/200</f>
        <v>17.5</v>
      </c>
      <c r="E121" s="14"/>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25">
      <c r="A122" s="127" t="s">
        <v>420</v>
      </c>
      <c r="B122" s="119" t="s">
        <v>18</v>
      </c>
      <c r="C122" s="15">
        <v>6300</v>
      </c>
      <c r="D122" s="16">
        <f>+C122/1000</f>
        <v>6.3</v>
      </c>
      <c r="E122" s="14"/>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25">
      <c r="A123" s="127" t="s">
        <v>424</v>
      </c>
      <c r="B123" s="119" t="s">
        <v>20</v>
      </c>
      <c r="C123" s="15">
        <v>30500</v>
      </c>
      <c r="D123" s="16">
        <f>+C123/1000</f>
        <v>30.5</v>
      </c>
      <c r="E123" s="14"/>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25">
      <c r="A124" s="126" t="s">
        <v>359</v>
      </c>
      <c r="B124" s="119" t="s">
        <v>18</v>
      </c>
      <c r="C124" s="15">
        <v>5600</v>
      </c>
      <c r="D124" s="16">
        <f>+C124/1000</f>
        <v>5.6</v>
      </c>
      <c r="E124" s="14"/>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25">
      <c r="A125" s="126" t="s">
        <v>429</v>
      </c>
      <c r="B125" s="119" t="s">
        <v>18</v>
      </c>
      <c r="C125" s="15">
        <v>10800</v>
      </c>
      <c r="D125" s="14">
        <f>+C125/3000</f>
        <v>3.6</v>
      </c>
      <c r="E125" s="14"/>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25">
      <c r="A126" s="119"/>
      <c r="B126" s="119"/>
      <c r="C126" s="15"/>
      <c r="D126" s="14"/>
      <c r="E126" s="14"/>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25">
      <c r="A127" s="119"/>
      <c r="B127" s="119"/>
      <c r="C127" s="15"/>
      <c r="D127" s="14"/>
      <c r="E127" s="14"/>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25">
      <c r="A128" s="119"/>
      <c r="B128" s="119"/>
      <c r="C128" s="15"/>
      <c r="D128" s="14"/>
      <c r="E128" s="14"/>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25">
      <c r="A129" s="122"/>
      <c r="B129" s="122"/>
      <c r="C129" s="23"/>
      <c r="D129" s="24"/>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25">
      <c r="A130" s="122"/>
      <c r="B130" s="122"/>
      <c r="C130" s="23"/>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25">
      <c r="A131" s="122"/>
      <c r="B131" s="122"/>
      <c r="C131" s="23"/>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25">
      <c r="A132" s="122"/>
      <c r="B132" s="122"/>
      <c r="C132" s="23"/>
      <c r="D132" s="25"/>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25">
      <c r="A133" s="122"/>
      <c r="B133" s="122"/>
      <c r="C133" s="23"/>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25">
      <c r="A134" s="122"/>
      <c r="B134" s="122"/>
      <c r="C134" s="23"/>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25">
      <c r="A135" s="122"/>
      <c r="B135" s="122"/>
      <c r="C135" s="23"/>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25">
      <c r="A136" s="122"/>
      <c r="B136" s="122"/>
      <c r="C136" s="23"/>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25">
      <c r="A137" s="122"/>
      <c r="B137" s="122"/>
      <c r="C137" s="23"/>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25">
      <c r="A138" s="122"/>
      <c r="B138" s="122"/>
      <c r="C138" s="23"/>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25">
      <c r="A139" s="122"/>
      <c r="B139" s="122"/>
      <c r="C139" s="23"/>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25">
      <c r="A140" s="122"/>
      <c r="B140" s="122"/>
      <c r="C140" s="23"/>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25">
      <c r="A141" s="122"/>
      <c r="B141" s="122"/>
      <c r="C141" s="23"/>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25">
      <c r="A142" s="122"/>
      <c r="B142" s="122"/>
      <c r="C142" s="23"/>
      <c r="D142" s="23"/>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25">
      <c r="A143" s="122"/>
      <c r="B143" s="122"/>
      <c r="C143" s="23"/>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25">
      <c r="A144" s="122"/>
      <c r="B144" s="122"/>
      <c r="C144" s="23"/>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25">
      <c r="A145" s="122"/>
      <c r="B145" s="122"/>
      <c r="C145" s="23"/>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25">
      <c r="A146" s="122"/>
      <c r="B146" s="122"/>
      <c r="C146" s="23"/>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25">
      <c r="A147" s="122"/>
      <c r="B147" s="122"/>
      <c r="C147" s="23"/>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25">
      <c r="A148" s="122"/>
      <c r="B148" s="122"/>
      <c r="C148" s="23"/>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25">
      <c r="A149" s="122"/>
      <c r="B149" s="122"/>
      <c r="C149" s="23"/>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25">
      <c r="A150" s="122"/>
      <c r="B150" s="122"/>
      <c r="C150" s="23"/>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25">
      <c r="A151" s="122"/>
      <c r="B151" s="122"/>
      <c r="C151" s="23"/>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25">
      <c r="A152" s="122"/>
      <c r="B152" s="122"/>
      <c r="C152" s="23"/>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25">
      <c r="A153" s="122"/>
      <c r="B153" s="122"/>
      <c r="C153" s="23"/>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25">
      <c r="A154" s="122"/>
      <c r="B154" s="122"/>
      <c r="C154" s="23"/>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25">
      <c r="A155" s="122"/>
      <c r="B155" s="122"/>
      <c r="C155" s="23"/>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25">
      <c r="A156" s="122"/>
      <c r="B156" s="122"/>
      <c r="C156" s="23"/>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25">
      <c r="A157" s="122"/>
      <c r="B157" s="122"/>
      <c r="C157" s="23"/>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25">
      <c r="A158" s="122"/>
      <c r="B158" s="122"/>
      <c r="C158" s="23"/>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25">
      <c r="A159" s="122"/>
      <c r="B159" s="122"/>
      <c r="C159" s="23"/>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25">
      <c r="A160" s="122"/>
      <c r="B160" s="122"/>
      <c r="C160" s="23"/>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25">
      <c r="A161" s="122"/>
      <c r="B161" s="122"/>
      <c r="C161" s="23"/>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25">
      <c r="A162" s="122"/>
      <c r="B162" s="122"/>
      <c r="C162" s="23"/>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25">
      <c r="A163" s="122"/>
      <c r="B163" s="122"/>
      <c r="C163" s="23"/>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25">
      <c r="A164" s="122"/>
      <c r="B164" s="122"/>
      <c r="C164" s="23"/>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25">
      <c r="A165" s="122"/>
      <c r="B165" s="122"/>
      <c r="C165" s="23"/>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25">
      <c r="A166" s="122"/>
      <c r="B166" s="122"/>
      <c r="C166" s="23"/>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25">
      <c r="A167" s="122"/>
      <c r="B167" s="122"/>
      <c r="C167" s="23"/>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25">
      <c r="A168" s="122"/>
      <c r="B168" s="122"/>
      <c r="C168" s="23"/>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25">
      <c r="A169" s="122"/>
      <c r="B169" s="122"/>
      <c r="C169" s="23"/>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25">
      <c r="A170" s="122"/>
      <c r="B170" s="122"/>
      <c r="C170" s="23"/>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25">
      <c r="A171" s="122"/>
      <c r="B171" s="122"/>
      <c r="C171" s="23"/>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25">
      <c r="A172" s="122"/>
      <c r="B172" s="122"/>
      <c r="C172" s="23"/>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25">
      <c r="A173" s="122"/>
      <c r="B173" s="122"/>
      <c r="C173" s="23"/>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25">
      <c r="A174" s="122"/>
      <c r="B174" s="122"/>
      <c r="C174" s="23"/>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25">
      <c r="A175" s="122"/>
      <c r="B175" s="122"/>
      <c r="C175" s="23"/>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25">
      <c r="A176" s="122"/>
      <c r="B176" s="122"/>
      <c r="C176" s="23"/>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25">
      <c r="A177" s="122"/>
      <c r="B177" s="122"/>
      <c r="C177" s="23"/>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25">
      <c r="A178" s="122"/>
      <c r="B178" s="122"/>
      <c r="C178" s="23"/>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25">
      <c r="A179" s="122"/>
      <c r="B179" s="122"/>
      <c r="C179" s="23"/>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25">
      <c r="A180" s="122"/>
      <c r="B180" s="122"/>
      <c r="C180" s="23"/>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25">
      <c r="A181" s="122"/>
      <c r="B181" s="122"/>
      <c r="C181" s="23"/>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25">
      <c r="A182" s="122"/>
      <c r="B182" s="122"/>
      <c r="C182" s="23"/>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25">
      <c r="A183" s="122"/>
      <c r="B183" s="122"/>
      <c r="C183" s="23"/>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25">
      <c r="A184" s="122"/>
      <c r="B184" s="122"/>
      <c r="C184" s="23"/>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25">
      <c r="A185" s="122"/>
      <c r="B185" s="122"/>
      <c r="C185" s="23"/>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25">
      <c r="A186" s="122"/>
      <c r="B186" s="122"/>
      <c r="C186" s="23"/>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25">
      <c r="A187" s="122"/>
      <c r="B187" s="122"/>
      <c r="C187" s="23"/>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25">
      <c r="A188" s="122"/>
      <c r="B188" s="122"/>
      <c r="C188" s="23"/>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25">
      <c r="A189" s="122"/>
      <c r="B189" s="122"/>
      <c r="C189" s="23"/>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25">
      <c r="A190" s="122"/>
      <c r="B190" s="122"/>
      <c r="C190" s="23"/>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25">
      <c r="A191" s="122"/>
      <c r="B191" s="122"/>
      <c r="C191" s="23"/>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25">
      <c r="A192" s="122"/>
      <c r="B192" s="122"/>
      <c r="C192" s="23"/>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25">
      <c r="A193" s="122"/>
      <c r="B193" s="122"/>
      <c r="C193" s="23"/>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25">
      <c r="A194" s="122"/>
      <c r="B194" s="122"/>
      <c r="C194" s="23"/>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25">
      <c r="A195" s="122"/>
      <c r="B195" s="122"/>
      <c r="C195" s="23"/>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25">
      <c r="A196" s="122"/>
      <c r="B196" s="122"/>
      <c r="C196" s="23"/>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25">
      <c r="A197" s="122"/>
      <c r="B197" s="122"/>
      <c r="C197" s="23"/>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25">
      <c r="A198" s="122"/>
      <c r="B198" s="122"/>
      <c r="C198" s="23"/>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25">
      <c r="A199" s="122"/>
      <c r="B199" s="122"/>
      <c r="C199" s="23"/>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25">
      <c r="A200" s="122"/>
      <c r="B200" s="122"/>
      <c r="C200" s="23"/>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25">
      <c r="A201" s="122"/>
      <c r="B201" s="122"/>
      <c r="C201" s="23"/>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25">
      <c r="A202" s="122"/>
      <c r="B202" s="122"/>
      <c r="C202" s="23"/>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25">
      <c r="A203" s="122"/>
      <c r="B203" s="122"/>
      <c r="C203" s="23"/>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25">
      <c r="A204" s="122"/>
      <c r="B204" s="122"/>
      <c r="C204" s="23"/>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25">
      <c r="A205" s="122"/>
      <c r="B205" s="122"/>
      <c r="C205" s="23"/>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25">
      <c r="A206" s="122"/>
      <c r="B206" s="122"/>
      <c r="C206" s="23"/>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25">
      <c r="A207" s="122"/>
      <c r="B207" s="122"/>
      <c r="C207" s="23"/>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25">
      <c r="A208" s="122"/>
      <c r="B208" s="122"/>
      <c r="C208" s="23"/>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25">
      <c r="A209" s="122"/>
      <c r="B209" s="122"/>
      <c r="C209" s="23"/>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25">
      <c r="A210" s="122"/>
      <c r="B210" s="122"/>
      <c r="C210" s="23"/>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25">
      <c r="A211" s="122"/>
      <c r="B211" s="122"/>
      <c r="C211" s="23"/>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25">
      <c r="A212" s="122"/>
      <c r="B212" s="122"/>
      <c r="C212" s="23"/>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25">
      <c r="A213" s="122"/>
      <c r="B213" s="122"/>
      <c r="C213" s="23"/>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25">
      <c r="A214" s="122"/>
      <c r="B214" s="122"/>
      <c r="C214" s="23"/>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25">
      <c r="A215" s="122"/>
      <c r="B215" s="122"/>
      <c r="C215" s="23"/>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25">
      <c r="A216" s="122"/>
      <c r="B216" s="122"/>
      <c r="C216" s="23"/>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25">
      <c r="A217" s="122"/>
      <c r="B217" s="122"/>
      <c r="C217" s="23"/>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25">
      <c r="A218" s="122"/>
      <c r="B218" s="122"/>
      <c r="C218" s="23"/>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25">
      <c r="A219" s="122"/>
      <c r="B219" s="122"/>
      <c r="C219" s="23"/>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25">
      <c r="A220" s="122"/>
      <c r="B220" s="122"/>
      <c r="C220" s="23"/>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25">
      <c r="A221" s="122"/>
      <c r="B221" s="122"/>
      <c r="C221" s="23"/>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25">
      <c r="A222" s="122"/>
      <c r="B222" s="122"/>
      <c r="C222" s="23"/>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25">
      <c r="A223" s="122"/>
      <c r="B223" s="122"/>
      <c r="C223" s="23"/>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25">
      <c r="A224" s="122"/>
      <c r="B224" s="122"/>
      <c r="C224" s="23"/>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25">
      <c r="A225" s="122"/>
      <c r="B225" s="122"/>
      <c r="C225" s="23"/>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25">
      <c r="A226" s="122"/>
      <c r="B226" s="122"/>
      <c r="C226" s="23"/>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25">
      <c r="A227" s="122"/>
      <c r="B227" s="122"/>
      <c r="C227" s="23"/>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25">
      <c r="A228" s="122"/>
      <c r="B228" s="122"/>
      <c r="C228" s="23"/>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25">
      <c r="A229" s="122"/>
      <c r="B229" s="122"/>
      <c r="C229" s="23"/>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25">
      <c r="A230" s="122"/>
      <c r="B230" s="122"/>
      <c r="C230" s="23"/>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25">
      <c r="A231" s="122"/>
      <c r="B231" s="122"/>
      <c r="C231" s="23"/>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25">
      <c r="A232" s="122"/>
      <c r="B232" s="122"/>
      <c r="C232" s="23"/>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25">
      <c r="A233" s="122"/>
      <c r="B233" s="122"/>
      <c r="C233" s="23"/>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25">
      <c r="A234" s="122"/>
      <c r="B234" s="122"/>
      <c r="C234" s="23"/>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25">
      <c r="A235" s="122"/>
      <c r="B235" s="122"/>
      <c r="C235" s="23"/>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25">
      <c r="A236" s="122"/>
      <c r="B236" s="122"/>
      <c r="C236" s="23"/>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25">
      <c r="A237" s="122"/>
      <c r="B237" s="122"/>
      <c r="C237" s="23"/>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25">
      <c r="A238" s="122"/>
      <c r="B238" s="122"/>
      <c r="C238" s="23"/>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25">
      <c r="A239" s="122"/>
      <c r="B239" s="122"/>
      <c r="C239" s="23"/>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25">
      <c r="A240" s="122"/>
      <c r="B240" s="122"/>
      <c r="C240" s="23"/>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25">
      <c r="A241" s="122"/>
      <c r="B241" s="122"/>
      <c r="C241" s="23"/>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25">
      <c r="A242" s="122"/>
      <c r="B242" s="122"/>
      <c r="C242" s="23"/>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25">
      <c r="A243" s="122"/>
      <c r="B243" s="122"/>
      <c r="C243" s="23"/>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25">
      <c r="A244" s="122"/>
      <c r="B244" s="122"/>
      <c r="C244" s="23"/>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25">
      <c r="A245" s="122"/>
      <c r="B245" s="122"/>
      <c r="C245" s="23"/>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25">
      <c r="A246" s="122"/>
      <c r="B246" s="122"/>
      <c r="C246" s="23"/>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25">
      <c r="A247" s="122"/>
      <c r="B247" s="122"/>
      <c r="C247" s="23"/>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25">
      <c r="A248" s="122"/>
      <c r="B248" s="122"/>
      <c r="C248" s="23"/>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25">
      <c r="A249" s="122"/>
      <c r="B249" s="122"/>
      <c r="C249" s="23"/>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25">
      <c r="A250" s="122"/>
      <c r="B250" s="122"/>
      <c r="C250" s="23"/>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25">
      <c r="A251" s="122"/>
      <c r="B251" s="122"/>
      <c r="C251" s="23"/>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25">
      <c r="A252" s="122"/>
      <c r="B252" s="122"/>
      <c r="C252" s="23"/>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25">
      <c r="A253" s="122"/>
      <c r="B253" s="122"/>
      <c r="C253" s="23"/>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25">
      <c r="A254" s="122"/>
      <c r="B254" s="122"/>
      <c r="C254" s="23"/>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25">
      <c r="A255" s="122"/>
      <c r="B255" s="122"/>
      <c r="C255" s="23"/>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25">
      <c r="A256" s="122"/>
      <c r="B256" s="122"/>
      <c r="C256" s="23"/>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25">
      <c r="A257" s="122"/>
      <c r="B257" s="122"/>
      <c r="C257" s="23"/>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25">
      <c r="A258" s="122"/>
      <c r="B258" s="122"/>
      <c r="C258" s="23"/>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25">
      <c r="A259" s="122"/>
      <c r="B259" s="122"/>
      <c r="C259" s="23"/>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25">
      <c r="A260" s="122"/>
      <c r="B260" s="122"/>
      <c r="C260" s="23"/>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25">
      <c r="A261" s="122"/>
      <c r="B261" s="122"/>
      <c r="C261" s="23"/>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25">
      <c r="A262" s="122"/>
      <c r="B262" s="122"/>
      <c r="C262" s="23"/>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25">
      <c r="A263" s="122"/>
      <c r="B263" s="122"/>
      <c r="C263" s="23"/>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25">
      <c r="A264" s="122"/>
      <c r="B264" s="122"/>
      <c r="C264" s="23"/>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25">
      <c r="A265" s="122"/>
      <c r="B265" s="122"/>
      <c r="C265" s="23"/>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25">
      <c r="A266" s="122"/>
      <c r="B266" s="122"/>
      <c r="C266" s="23"/>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25">
      <c r="A267" s="122"/>
      <c r="B267" s="122"/>
      <c r="C267" s="23"/>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25">
      <c r="A268" s="122"/>
      <c r="B268" s="122"/>
      <c r="C268" s="23"/>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25">
      <c r="A269" s="122"/>
      <c r="B269" s="122"/>
      <c r="C269" s="23"/>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25">
      <c r="A270" s="122"/>
      <c r="B270" s="122"/>
      <c r="C270" s="23"/>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25">
      <c r="A271" s="122"/>
      <c r="B271" s="122"/>
      <c r="C271" s="23"/>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25">
      <c r="A272" s="122"/>
      <c r="B272" s="122"/>
      <c r="C272" s="23"/>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25">
      <c r="A273" s="122"/>
      <c r="B273" s="122"/>
      <c r="C273" s="23"/>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25">
      <c r="A274" s="122"/>
      <c r="B274" s="122"/>
      <c r="C274" s="23"/>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25">
      <c r="A275" s="122"/>
      <c r="B275" s="122"/>
      <c r="C275" s="23"/>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25">
      <c r="A276" s="122"/>
      <c r="B276" s="122"/>
      <c r="C276" s="23"/>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25">
      <c r="A277" s="122"/>
      <c r="B277" s="122"/>
      <c r="C277" s="23"/>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25">
      <c r="A278" s="122"/>
      <c r="B278" s="122"/>
      <c r="C278" s="23"/>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25">
      <c r="A279" s="122"/>
      <c r="B279" s="122"/>
      <c r="C279" s="23"/>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25">
      <c r="A280" s="122"/>
      <c r="B280" s="122"/>
      <c r="C280" s="23"/>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25">
      <c r="A281" s="122"/>
      <c r="B281" s="122"/>
      <c r="C281" s="23"/>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25">
      <c r="A282" s="122"/>
      <c r="B282" s="122"/>
      <c r="C282" s="23"/>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25">
      <c r="A283" s="122"/>
      <c r="B283" s="122"/>
      <c r="C283" s="23"/>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25">
      <c r="A284" s="122"/>
      <c r="B284" s="122"/>
      <c r="C284" s="23"/>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25">
      <c r="A285" s="122"/>
      <c r="B285" s="122"/>
      <c r="C285" s="23"/>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25">
      <c r="A286" s="122"/>
      <c r="B286" s="122"/>
      <c r="C286" s="23"/>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25">
      <c r="A287" s="122"/>
      <c r="B287" s="122"/>
      <c r="C287" s="23"/>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25">
      <c r="A288" s="122"/>
      <c r="B288" s="122"/>
      <c r="C288" s="23"/>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25">
      <c r="A289" s="122"/>
      <c r="B289" s="122"/>
      <c r="C289" s="23"/>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25">
      <c r="A290" s="122"/>
      <c r="B290" s="122"/>
      <c r="C290" s="23"/>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25">
      <c r="A291" s="122"/>
      <c r="B291" s="122"/>
      <c r="C291" s="23"/>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25">
      <c r="A292" s="122"/>
      <c r="B292" s="122"/>
      <c r="C292" s="23"/>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25">
      <c r="A293" s="122"/>
      <c r="B293" s="122"/>
      <c r="C293" s="23"/>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25">
      <c r="A294" s="122"/>
      <c r="B294" s="122"/>
      <c r="C294" s="23"/>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25">
      <c r="A295" s="122"/>
      <c r="B295" s="122"/>
      <c r="C295" s="23"/>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25">
      <c r="A296" s="122"/>
      <c r="B296" s="122"/>
      <c r="C296" s="23"/>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25">
      <c r="A297" s="122"/>
      <c r="B297" s="122"/>
      <c r="C297" s="23"/>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25">
      <c r="A298" s="122"/>
      <c r="B298" s="122"/>
      <c r="C298" s="23"/>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25">
      <c r="A299" s="122"/>
      <c r="B299" s="122"/>
      <c r="C299" s="23"/>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25">
      <c r="A300" s="122"/>
      <c r="B300" s="122"/>
      <c r="C300" s="23"/>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25">
      <c r="A301" s="122"/>
      <c r="B301" s="122"/>
      <c r="C301" s="23"/>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25">
      <c r="A302" s="122"/>
      <c r="B302" s="122"/>
      <c r="C302" s="23"/>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25">
      <c r="A303" s="122"/>
      <c r="B303" s="122"/>
      <c r="C303" s="23"/>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25">
      <c r="A304" s="122"/>
      <c r="B304" s="122"/>
      <c r="C304" s="23"/>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25">
      <c r="A305" s="122"/>
      <c r="B305" s="122"/>
      <c r="C305" s="23"/>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25">
      <c r="A306" s="122"/>
      <c r="B306" s="122"/>
      <c r="C306" s="23"/>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25">
      <c r="A307" s="122"/>
      <c r="B307" s="122"/>
      <c r="C307" s="23"/>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25">
      <c r="A308" s="122"/>
      <c r="B308" s="122"/>
      <c r="C308" s="23"/>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25">
      <c r="A309" s="122"/>
      <c r="B309" s="122"/>
      <c r="C309" s="23"/>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25">
      <c r="A310" s="122"/>
      <c r="B310" s="122"/>
      <c r="C310" s="23"/>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25">
      <c r="A311" s="122"/>
      <c r="B311" s="122"/>
      <c r="C311" s="23"/>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25">
      <c r="A312" s="122"/>
      <c r="B312" s="122"/>
      <c r="C312" s="23"/>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25">
      <c r="A313" s="122"/>
      <c r="B313" s="122"/>
      <c r="C313" s="23"/>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25">
      <c r="A314" s="122"/>
      <c r="B314" s="122"/>
      <c r="C314" s="23"/>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25">
      <c r="A315" s="122"/>
      <c r="B315" s="122"/>
      <c r="C315" s="23"/>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25">
      <c r="A316" s="122"/>
      <c r="B316" s="122"/>
      <c r="C316" s="23"/>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25">
      <c r="A317" s="122"/>
      <c r="B317" s="122"/>
      <c r="C317" s="23"/>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25">
      <c r="A318" s="122"/>
      <c r="B318" s="122"/>
      <c r="C318" s="23"/>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25">
      <c r="A319" s="122"/>
      <c r="B319" s="122"/>
      <c r="C319" s="23"/>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25">
      <c r="A320" s="122"/>
      <c r="B320" s="122"/>
      <c r="C320" s="23"/>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25">
      <c r="A321" s="122"/>
      <c r="B321" s="122"/>
      <c r="C321" s="23"/>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25">
      <c r="A322" s="122"/>
      <c r="B322" s="122"/>
      <c r="C322" s="23"/>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25">
      <c r="A323" s="122"/>
      <c r="B323" s="122"/>
      <c r="C323" s="23"/>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25">
      <c r="A324" s="122"/>
      <c r="B324" s="122"/>
      <c r="C324" s="23"/>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25">
      <c r="A325" s="122"/>
      <c r="B325" s="122"/>
      <c r="C325" s="23"/>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25">
      <c r="A326" s="122"/>
      <c r="B326" s="122"/>
      <c r="C326" s="23"/>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25">
      <c r="A327" s="122"/>
      <c r="B327" s="122"/>
      <c r="C327" s="23"/>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25">
      <c r="A328" s="122"/>
      <c r="B328" s="122"/>
      <c r="C328" s="23"/>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25">
      <c r="A329" s="122"/>
      <c r="B329" s="122"/>
      <c r="C329" s="23"/>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25">
      <c r="A330" s="122"/>
      <c r="B330" s="122"/>
      <c r="C330" s="23"/>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25">
      <c r="A331" s="122"/>
      <c r="B331" s="122"/>
      <c r="C331" s="23"/>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25">
      <c r="A332" s="122"/>
      <c r="B332" s="122"/>
      <c r="C332" s="23"/>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25">
      <c r="A333" s="122"/>
      <c r="B333" s="122"/>
      <c r="C333" s="23"/>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25">
      <c r="A334" s="122"/>
      <c r="B334" s="122"/>
      <c r="C334" s="23"/>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25">
      <c r="A335" s="122"/>
      <c r="B335" s="122"/>
      <c r="C335" s="23"/>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25">
      <c r="A336" s="122"/>
      <c r="B336" s="122"/>
      <c r="C336" s="23"/>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25">
      <c r="A337" s="122"/>
      <c r="B337" s="122"/>
      <c r="C337" s="23"/>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25">
      <c r="A338" s="122"/>
      <c r="B338" s="122"/>
      <c r="C338" s="23"/>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25">
      <c r="A339" s="122"/>
      <c r="B339" s="122"/>
      <c r="C339" s="23"/>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25">
      <c r="A340" s="122"/>
      <c r="B340" s="122"/>
      <c r="C340" s="23"/>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25">
      <c r="A341" s="122"/>
      <c r="B341" s="122"/>
      <c r="C341" s="23"/>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25">
      <c r="A342" s="122"/>
      <c r="B342" s="122"/>
      <c r="C342" s="23"/>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25">
      <c r="A343" s="122"/>
      <c r="B343" s="122"/>
      <c r="C343" s="23"/>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25">
      <c r="A344" s="122"/>
      <c r="B344" s="122"/>
      <c r="C344" s="23"/>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25">
      <c r="A345" s="122"/>
      <c r="B345" s="122"/>
      <c r="C345" s="23"/>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25">
      <c r="A346" s="122"/>
      <c r="B346" s="122"/>
      <c r="C346" s="23"/>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25">
      <c r="A347" s="122"/>
      <c r="B347" s="122"/>
      <c r="C347" s="23"/>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25">
      <c r="A348" s="122"/>
      <c r="B348" s="122"/>
      <c r="C348" s="23"/>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25">
      <c r="A349" s="122"/>
      <c r="B349" s="122"/>
      <c r="C349" s="23"/>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25">
      <c r="A350" s="122"/>
      <c r="B350" s="122"/>
      <c r="C350" s="23"/>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25">
      <c r="A351" s="122"/>
      <c r="B351" s="122"/>
      <c r="C351" s="23"/>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25">
      <c r="A352" s="122"/>
      <c r="B352" s="122"/>
      <c r="C352" s="23"/>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25">
      <c r="A353" s="122"/>
      <c r="B353" s="122"/>
      <c r="C353" s="23"/>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25">
      <c r="A354" s="122"/>
      <c r="B354" s="122"/>
      <c r="C354" s="23"/>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25">
      <c r="A355" s="122"/>
      <c r="B355" s="122"/>
      <c r="C355" s="23"/>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25">
      <c r="A356" s="122"/>
      <c r="B356" s="122"/>
      <c r="C356" s="23"/>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25">
      <c r="A357" s="122"/>
      <c r="B357" s="122"/>
      <c r="C357" s="23"/>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25">
      <c r="A358" s="122"/>
      <c r="B358" s="122"/>
      <c r="C358" s="23"/>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25">
      <c r="A359" s="122"/>
      <c r="B359" s="122"/>
      <c r="C359" s="23"/>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25">
      <c r="A360" s="122"/>
      <c r="B360" s="122"/>
      <c r="C360" s="23"/>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25">
      <c r="A361" s="122"/>
      <c r="B361" s="122"/>
      <c r="C361" s="23"/>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25">
      <c r="A362" s="122"/>
      <c r="B362" s="122"/>
      <c r="C362" s="23"/>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25">
      <c r="A363" s="122"/>
      <c r="B363" s="122"/>
      <c r="C363" s="23"/>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25">
      <c r="A364" s="122"/>
      <c r="B364" s="122"/>
      <c r="C364" s="23"/>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25">
      <c r="A365" s="122"/>
      <c r="B365" s="122"/>
      <c r="C365" s="23"/>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25">
      <c r="A366" s="122"/>
      <c r="B366" s="122"/>
      <c r="C366" s="23"/>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25">
      <c r="A367" s="122"/>
      <c r="B367" s="122"/>
      <c r="C367" s="23"/>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25">
      <c r="A368" s="122"/>
      <c r="B368" s="122"/>
      <c r="C368" s="23"/>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25">
      <c r="A369" s="122"/>
      <c r="B369" s="122"/>
      <c r="C369" s="23"/>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25">
      <c r="A370" s="122"/>
      <c r="B370" s="122"/>
      <c r="C370" s="23"/>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25">
      <c r="A371" s="122"/>
      <c r="B371" s="122"/>
      <c r="C371" s="23"/>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25">
      <c r="A372" s="122"/>
      <c r="B372" s="122"/>
      <c r="C372" s="23"/>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25">
      <c r="A373" s="122"/>
      <c r="B373" s="122"/>
      <c r="C373" s="23"/>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25">
      <c r="A374" s="122"/>
      <c r="B374" s="122"/>
      <c r="C374" s="23"/>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25">
      <c r="A375" s="122"/>
      <c r="B375" s="122"/>
      <c r="C375" s="23"/>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25">
      <c r="A376" s="122"/>
      <c r="B376" s="122"/>
      <c r="C376" s="23"/>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25">
      <c r="A377" s="122"/>
      <c r="B377" s="122"/>
      <c r="C377" s="23"/>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25">
      <c r="A378" s="122"/>
      <c r="B378" s="122"/>
      <c r="C378" s="23"/>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25">
      <c r="A379" s="122"/>
      <c r="B379" s="122"/>
      <c r="C379" s="23"/>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25">
      <c r="A380" s="122"/>
      <c r="B380" s="122"/>
      <c r="C380" s="23"/>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25">
      <c r="A381" s="122"/>
      <c r="B381" s="122"/>
      <c r="C381" s="23"/>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25">
      <c r="A382" s="122"/>
      <c r="B382" s="122"/>
      <c r="C382" s="23"/>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25">
      <c r="A383" s="122"/>
      <c r="B383" s="122"/>
      <c r="C383" s="23"/>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25">
      <c r="A384" s="122"/>
      <c r="B384" s="122"/>
      <c r="C384" s="23"/>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25">
      <c r="A385" s="122"/>
      <c r="B385" s="122"/>
      <c r="C385" s="23"/>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25">
      <c r="A386" s="122"/>
      <c r="B386" s="122"/>
      <c r="C386" s="23"/>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25">
      <c r="A387" s="122"/>
      <c r="B387" s="122"/>
      <c r="C387" s="23"/>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25">
      <c r="A388" s="122"/>
      <c r="B388" s="122"/>
      <c r="C388" s="23"/>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25">
      <c r="A389" s="122"/>
      <c r="B389" s="122"/>
      <c r="C389" s="23"/>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25">
      <c r="A390" s="122"/>
      <c r="B390" s="122"/>
      <c r="C390" s="23"/>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25">
      <c r="A391" s="122"/>
      <c r="B391" s="122"/>
      <c r="C391" s="23"/>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25">
      <c r="A392" s="122"/>
      <c r="B392" s="122"/>
      <c r="C392" s="23"/>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25">
      <c r="A393" s="122"/>
      <c r="B393" s="122"/>
      <c r="C393" s="23"/>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25">
      <c r="A394" s="122"/>
      <c r="B394" s="122"/>
      <c r="C394" s="23"/>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25">
      <c r="A395" s="122"/>
      <c r="B395" s="122"/>
      <c r="C395" s="23"/>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25">
      <c r="A396" s="122"/>
      <c r="B396" s="122"/>
      <c r="C396" s="23"/>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25">
      <c r="A397" s="122"/>
      <c r="B397" s="122"/>
      <c r="C397" s="23"/>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25">
      <c r="A398" s="122"/>
      <c r="B398" s="122"/>
      <c r="C398" s="23"/>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25">
      <c r="A399" s="122"/>
      <c r="B399" s="122"/>
      <c r="C399" s="23"/>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25">
      <c r="A400" s="122"/>
      <c r="B400" s="122"/>
      <c r="C400" s="23"/>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25">
      <c r="A401" s="122"/>
      <c r="B401" s="122"/>
      <c r="C401" s="23"/>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25">
      <c r="A402" s="122"/>
      <c r="B402" s="122"/>
      <c r="C402" s="23"/>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25">
      <c r="A403" s="122"/>
      <c r="B403" s="122"/>
      <c r="C403" s="23"/>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25">
      <c r="A404" s="122"/>
      <c r="B404" s="122"/>
      <c r="C404" s="23"/>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25">
      <c r="A405" s="122"/>
      <c r="B405" s="122"/>
      <c r="C405" s="23"/>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25">
      <c r="A406" s="122"/>
      <c r="B406" s="122"/>
      <c r="C406" s="23"/>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25">
      <c r="A407" s="122"/>
      <c r="B407" s="122"/>
      <c r="C407" s="23"/>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25">
      <c r="A408" s="122"/>
      <c r="B408" s="122"/>
      <c r="C408" s="23"/>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25">
      <c r="A409" s="122"/>
      <c r="B409" s="122"/>
      <c r="C409" s="23"/>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25">
      <c r="A410" s="122"/>
      <c r="B410" s="122"/>
      <c r="C410" s="23"/>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25">
      <c r="A411" s="122"/>
      <c r="B411" s="122"/>
      <c r="C411" s="23"/>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25">
      <c r="A412" s="122"/>
      <c r="B412" s="122"/>
      <c r="C412" s="23"/>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25">
      <c r="A413" s="122"/>
      <c r="B413" s="122"/>
      <c r="C413" s="23"/>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25">
      <c r="A414" s="122"/>
      <c r="B414" s="122"/>
      <c r="C414" s="23"/>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25">
      <c r="A415" s="122"/>
      <c r="B415" s="122"/>
      <c r="C415" s="23"/>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25">
      <c r="A416" s="122"/>
      <c r="B416" s="122"/>
      <c r="C416" s="23"/>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25">
      <c r="A417" s="122"/>
      <c r="B417" s="122"/>
      <c r="C417" s="23"/>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25">
      <c r="A418" s="122"/>
      <c r="B418" s="122"/>
      <c r="C418" s="23"/>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25">
      <c r="A419" s="122"/>
      <c r="B419" s="122"/>
      <c r="C419" s="23"/>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25">
      <c r="A420" s="122"/>
      <c r="B420" s="122"/>
      <c r="C420" s="23"/>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25">
      <c r="A421" s="122"/>
      <c r="B421" s="122"/>
      <c r="C421" s="23"/>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25">
      <c r="A422" s="122"/>
      <c r="B422" s="122"/>
      <c r="C422" s="23"/>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25">
      <c r="A423" s="122"/>
      <c r="B423" s="122"/>
      <c r="C423" s="23"/>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25">
      <c r="A424" s="122"/>
      <c r="B424" s="122"/>
      <c r="C424" s="23"/>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25">
      <c r="A425" s="122"/>
      <c r="B425" s="122"/>
      <c r="C425" s="23"/>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25">
      <c r="A426" s="122"/>
      <c r="B426" s="122"/>
      <c r="C426" s="23"/>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25">
      <c r="A427" s="122"/>
      <c r="B427" s="122"/>
      <c r="C427" s="23"/>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25">
      <c r="A428" s="122"/>
      <c r="B428" s="122"/>
      <c r="C428" s="23"/>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25">
      <c r="A429" s="122"/>
      <c r="B429" s="122"/>
      <c r="C429" s="23"/>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25">
      <c r="A430" s="122"/>
      <c r="B430" s="122"/>
      <c r="C430" s="23"/>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25">
      <c r="A431" s="122"/>
      <c r="B431" s="122"/>
      <c r="C431" s="23"/>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25">
      <c r="A432" s="122"/>
      <c r="B432" s="122"/>
      <c r="C432" s="23"/>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25">
      <c r="A433" s="122"/>
      <c r="B433" s="122"/>
      <c r="C433" s="23"/>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25">
      <c r="A434" s="122"/>
      <c r="B434" s="122"/>
      <c r="C434" s="23"/>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25">
      <c r="A435" s="122"/>
      <c r="B435" s="122"/>
      <c r="C435" s="23"/>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25">
      <c r="A436" s="122"/>
      <c r="B436" s="122"/>
      <c r="C436" s="23"/>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25">
      <c r="A437" s="122"/>
      <c r="B437" s="122"/>
      <c r="C437" s="23"/>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25">
      <c r="A438" s="122"/>
      <c r="B438" s="122"/>
      <c r="C438" s="23"/>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25">
      <c r="A439" s="122"/>
      <c r="B439" s="122"/>
      <c r="C439" s="23"/>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25">
      <c r="A440" s="122"/>
      <c r="B440" s="122"/>
      <c r="C440" s="23"/>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25">
      <c r="A441" s="122"/>
      <c r="B441" s="122"/>
      <c r="C441" s="23"/>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25">
      <c r="A442" s="122"/>
      <c r="B442" s="122"/>
      <c r="C442" s="23"/>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25">
      <c r="A443" s="122"/>
      <c r="B443" s="122"/>
      <c r="C443" s="23"/>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25">
      <c r="A444" s="122"/>
      <c r="B444" s="122"/>
      <c r="C444" s="23"/>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25">
      <c r="A445" s="122"/>
      <c r="B445" s="122"/>
      <c r="C445" s="23"/>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25">
      <c r="A446" s="122"/>
      <c r="B446" s="122"/>
      <c r="C446" s="23"/>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25">
      <c r="A447" s="122"/>
      <c r="B447" s="122"/>
      <c r="C447" s="23"/>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25">
      <c r="A448" s="122"/>
      <c r="B448" s="122"/>
      <c r="C448" s="23"/>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25">
      <c r="A449" s="122"/>
      <c r="B449" s="122"/>
      <c r="C449" s="23"/>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25">
      <c r="A450" s="122"/>
      <c r="B450" s="122"/>
      <c r="C450" s="23"/>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25">
      <c r="A451" s="122"/>
      <c r="B451" s="122"/>
      <c r="C451" s="23"/>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25">
      <c r="A452" s="122"/>
      <c r="B452" s="122"/>
      <c r="C452" s="23"/>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25">
      <c r="A453" s="122"/>
      <c r="B453" s="122"/>
      <c r="C453" s="23"/>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25">
      <c r="A454" s="122"/>
      <c r="B454" s="122"/>
      <c r="C454" s="23"/>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25">
      <c r="A455" s="122"/>
      <c r="B455" s="122"/>
      <c r="C455" s="23"/>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25">
      <c r="A456" s="122"/>
      <c r="B456" s="122"/>
      <c r="C456" s="23"/>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25">
      <c r="A457" s="122"/>
      <c r="B457" s="122"/>
      <c r="C457" s="23"/>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25">
      <c r="A458" s="122"/>
      <c r="B458" s="122"/>
      <c r="C458" s="23"/>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25">
      <c r="A459" s="122"/>
      <c r="B459" s="122"/>
      <c r="C459" s="23"/>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25">
      <c r="A460" s="122"/>
      <c r="B460" s="122"/>
      <c r="C460" s="23"/>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25">
      <c r="A461" s="122"/>
      <c r="B461" s="122"/>
      <c r="C461" s="23"/>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25">
      <c r="A462" s="122"/>
      <c r="B462" s="122"/>
      <c r="C462" s="23"/>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25">
      <c r="A463" s="122"/>
      <c r="B463" s="122"/>
      <c r="C463" s="23"/>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25">
      <c r="A464" s="122"/>
      <c r="B464" s="122"/>
      <c r="C464" s="23"/>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25">
      <c r="A465" s="122"/>
      <c r="B465" s="122"/>
      <c r="C465" s="23"/>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25">
      <c r="A466" s="122"/>
      <c r="B466" s="122"/>
      <c r="C466" s="23"/>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25">
      <c r="A467" s="122"/>
      <c r="B467" s="122"/>
      <c r="C467" s="23"/>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25">
      <c r="A468" s="122"/>
      <c r="B468" s="122"/>
      <c r="C468" s="23"/>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25">
      <c r="A469" s="122"/>
      <c r="B469" s="122"/>
      <c r="C469" s="23"/>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25">
      <c r="A470" s="122"/>
      <c r="B470" s="122"/>
      <c r="C470" s="23"/>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25">
      <c r="A471" s="122"/>
      <c r="B471" s="122"/>
      <c r="C471" s="23"/>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25">
      <c r="A472" s="122"/>
      <c r="B472" s="122"/>
      <c r="C472" s="23"/>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25">
      <c r="A473" s="122"/>
      <c r="B473" s="122"/>
      <c r="C473" s="23"/>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25">
      <c r="A474" s="122"/>
      <c r="B474" s="122"/>
      <c r="C474" s="23"/>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25">
      <c r="A475" s="122"/>
      <c r="B475" s="122"/>
      <c r="C475" s="23"/>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25">
      <c r="A476" s="122"/>
      <c r="B476" s="122"/>
      <c r="C476" s="23"/>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25">
      <c r="A477" s="122"/>
      <c r="B477" s="122"/>
      <c r="C477" s="23"/>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25">
      <c r="A478" s="122"/>
      <c r="B478" s="122"/>
      <c r="C478" s="23"/>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25">
      <c r="A479" s="122"/>
      <c r="B479" s="122"/>
      <c r="C479" s="23"/>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25">
      <c r="A480" s="122"/>
      <c r="B480" s="122"/>
      <c r="C480" s="23"/>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25">
      <c r="A481" s="122"/>
      <c r="B481" s="122"/>
      <c r="C481" s="23"/>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25">
      <c r="A482" s="122"/>
      <c r="B482" s="122"/>
      <c r="C482" s="23"/>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25">
      <c r="A483" s="122"/>
      <c r="B483" s="122"/>
      <c r="C483" s="23"/>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25">
      <c r="A484" s="122"/>
      <c r="B484" s="122"/>
      <c r="C484" s="23"/>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25">
      <c r="A485" s="122"/>
      <c r="B485" s="122"/>
      <c r="C485" s="23"/>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25">
      <c r="A486" s="122"/>
      <c r="B486" s="122"/>
      <c r="C486" s="23"/>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25">
      <c r="A487" s="122"/>
      <c r="B487" s="122"/>
      <c r="C487" s="23"/>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25">
      <c r="A488" s="122"/>
      <c r="B488" s="122"/>
      <c r="C488" s="23"/>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25">
      <c r="A489" s="122"/>
      <c r="B489" s="122"/>
      <c r="C489" s="23"/>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25">
      <c r="A490" s="122"/>
      <c r="B490" s="122"/>
      <c r="C490" s="23"/>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25">
      <c r="A491" s="122"/>
      <c r="B491" s="122"/>
      <c r="C491" s="23"/>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25">
      <c r="A492" s="122"/>
      <c r="B492" s="122"/>
      <c r="C492" s="23"/>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25">
      <c r="A493" s="122"/>
      <c r="B493" s="122"/>
      <c r="C493" s="23"/>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25">
      <c r="A494" s="122"/>
      <c r="B494" s="122"/>
      <c r="C494" s="23"/>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25">
      <c r="A495" s="122"/>
      <c r="B495" s="122"/>
      <c r="C495" s="23"/>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25">
      <c r="A496" s="122"/>
      <c r="B496" s="122"/>
      <c r="C496" s="23"/>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25">
      <c r="A497" s="122"/>
      <c r="B497" s="122"/>
      <c r="C497" s="23"/>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25">
      <c r="A498" s="122"/>
      <c r="B498" s="122"/>
      <c r="C498" s="23"/>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25">
      <c r="A499" s="122"/>
      <c r="B499" s="122"/>
      <c r="C499" s="23"/>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25">
      <c r="A500" s="122"/>
      <c r="B500" s="122"/>
      <c r="C500" s="23"/>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25">
      <c r="A501" s="122"/>
      <c r="B501" s="122"/>
      <c r="C501" s="23"/>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25">
      <c r="A502" s="122"/>
      <c r="B502" s="122"/>
      <c r="C502" s="23"/>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25">
      <c r="A503" s="122"/>
      <c r="B503" s="122"/>
      <c r="C503" s="23"/>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25">
      <c r="A504" s="122"/>
      <c r="B504" s="122"/>
      <c r="C504" s="23"/>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25">
      <c r="A505" s="122"/>
      <c r="B505" s="122"/>
      <c r="C505" s="23"/>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25">
      <c r="A506" s="122"/>
      <c r="B506" s="122"/>
      <c r="C506" s="23"/>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25">
      <c r="A507" s="122"/>
      <c r="B507" s="122"/>
      <c r="C507" s="23"/>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25">
      <c r="A508" s="122"/>
      <c r="B508" s="122"/>
      <c r="C508" s="23"/>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25">
      <c r="A509" s="122"/>
      <c r="B509" s="122"/>
      <c r="C509" s="23"/>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25">
      <c r="A510" s="122"/>
      <c r="B510" s="122"/>
      <c r="C510" s="23"/>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25">
      <c r="A511" s="122"/>
      <c r="B511" s="122"/>
      <c r="C511" s="23"/>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25">
      <c r="A512" s="122"/>
      <c r="B512" s="122"/>
      <c r="C512" s="23"/>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25">
      <c r="A513" s="122"/>
      <c r="B513" s="122"/>
      <c r="C513" s="23"/>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25">
      <c r="A514" s="122"/>
      <c r="B514" s="122"/>
      <c r="C514" s="23"/>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25">
      <c r="A515" s="122"/>
      <c r="B515" s="122"/>
      <c r="C515" s="23"/>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25">
      <c r="A516" s="122"/>
      <c r="B516" s="122"/>
      <c r="C516" s="23"/>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25">
      <c r="A517" s="122"/>
      <c r="B517" s="122"/>
      <c r="C517" s="23"/>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25">
      <c r="A518" s="122"/>
      <c r="B518" s="122"/>
      <c r="C518" s="23"/>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25">
      <c r="A519" s="122"/>
      <c r="B519" s="122"/>
      <c r="C519" s="23"/>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25">
      <c r="A520" s="122"/>
      <c r="B520" s="122"/>
      <c r="C520" s="23"/>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25">
      <c r="A521" s="122"/>
      <c r="B521" s="122"/>
      <c r="C521" s="23"/>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25">
      <c r="A522" s="122"/>
      <c r="B522" s="122"/>
      <c r="C522" s="23"/>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25">
      <c r="A523" s="122"/>
      <c r="B523" s="122"/>
      <c r="C523" s="23"/>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25">
      <c r="A524" s="122"/>
      <c r="B524" s="122"/>
      <c r="C524" s="23"/>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25">
      <c r="A525" s="122"/>
      <c r="B525" s="122"/>
      <c r="C525" s="23"/>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25">
      <c r="A526" s="122"/>
      <c r="B526" s="122"/>
      <c r="C526" s="23"/>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25">
      <c r="A527" s="122"/>
      <c r="B527" s="122"/>
      <c r="C527" s="23"/>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25">
      <c r="A528" s="122"/>
      <c r="B528" s="122"/>
      <c r="C528" s="23"/>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25">
      <c r="A529" s="122"/>
      <c r="B529" s="122"/>
      <c r="C529" s="23"/>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25">
      <c r="A530" s="122"/>
      <c r="B530" s="122"/>
      <c r="C530" s="23"/>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25">
      <c r="A531" s="122"/>
      <c r="B531" s="122"/>
      <c r="C531" s="23"/>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25">
      <c r="A532" s="122"/>
      <c r="B532" s="122"/>
      <c r="C532" s="23"/>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25">
      <c r="A533" s="122"/>
      <c r="B533" s="122"/>
      <c r="C533" s="23"/>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25">
      <c r="A534" s="122"/>
      <c r="B534" s="122"/>
      <c r="C534" s="23"/>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25">
      <c r="A535" s="122"/>
      <c r="B535" s="122"/>
      <c r="C535" s="23"/>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25">
      <c r="A536" s="122"/>
      <c r="B536" s="122"/>
      <c r="C536" s="23"/>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25">
      <c r="A537" s="122"/>
      <c r="B537" s="122"/>
      <c r="C537" s="23"/>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25">
      <c r="A538" s="122"/>
      <c r="B538" s="122"/>
      <c r="C538" s="23"/>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25">
      <c r="A539" s="122"/>
      <c r="B539" s="122"/>
      <c r="C539" s="23"/>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25">
      <c r="A540" s="122"/>
      <c r="B540" s="122"/>
      <c r="C540" s="23"/>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25">
      <c r="A541" s="122"/>
      <c r="B541" s="122"/>
      <c r="C541" s="23"/>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25">
      <c r="A542" s="122"/>
      <c r="B542" s="122"/>
      <c r="C542" s="23"/>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25">
      <c r="A543" s="122"/>
      <c r="B543" s="122"/>
      <c r="C543" s="23"/>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25">
      <c r="A544" s="122"/>
      <c r="B544" s="122"/>
      <c r="C544" s="23"/>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25">
      <c r="A545" s="122"/>
      <c r="B545" s="122"/>
      <c r="C545" s="23"/>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25">
      <c r="A546" s="122"/>
      <c r="B546" s="122"/>
      <c r="C546" s="23"/>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25">
      <c r="A547" s="122"/>
      <c r="B547" s="122"/>
      <c r="C547" s="23"/>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25">
      <c r="A548" s="122"/>
      <c r="B548" s="122"/>
      <c r="C548" s="23"/>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25">
      <c r="A549" s="122"/>
      <c r="B549" s="122"/>
      <c r="C549" s="23"/>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25">
      <c r="A550" s="122"/>
      <c r="B550" s="122"/>
      <c r="C550" s="23"/>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25">
      <c r="A551" s="122"/>
      <c r="B551" s="122"/>
      <c r="C551" s="23"/>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25">
      <c r="A552" s="122"/>
      <c r="B552" s="122"/>
      <c r="C552" s="23"/>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25">
      <c r="A553" s="122"/>
      <c r="B553" s="122"/>
      <c r="C553" s="23"/>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25">
      <c r="A554" s="122"/>
      <c r="B554" s="122"/>
      <c r="C554" s="23"/>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25">
      <c r="A555" s="122"/>
      <c r="B555" s="122"/>
      <c r="C555" s="23"/>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25">
      <c r="A556" s="122"/>
      <c r="B556" s="122"/>
      <c r="C556" s="23"/>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25">
      <c r="A557" s="122"/>
      <c r="B557" s="122"/>
      <c r="C557" s="23"/>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25">
      <c r="A558" s="122"/>
      <c r="B558" s="122"/>
      <c r="C558" s="23"/>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25">
      <c r="A559" s="122"/>
      <c r="B559" s="122"/>
      <c r="C559" s="23"/>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25">
      <c r="A560" s="122"/>
      <c r="B560" s="122"/>
      <c r="C560" s="23"/>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25">
      <c r="A561" s="122"/>
      <c r="B561" s="122"/>
      <c r="C561" s="23"/>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25">
      <c r="A562" s="122"/>
      <c r="B562" s="122"/>
      <c r="C562" s="23"/>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25">
      <c r="A563" s="122"/>
      <c r="B563" s="122"/>
      <c r="C563" s="23"/>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25">
      <c r="A564" s="122"/>
      <c r="B564" s="122"/>
      <c r="C564" s="23"/>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25">
      <c r="A565" s="122"/>
      <c r="B565" s="122"/>
      <c r="C565" s="23"/>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25">
      <c r="A566" s="122"/>
      <c r="B566" s="122"/>
      <c r="C566" s="23"/>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25">
      <c r="A567" s="122"/>
      <c r="B567" s="122"/>
      <c r="C567" s="23"/>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25">
      <c r="A568" s="122"/>
      <c r="B568" s="122"/>
      <c r="C568" s="23"/>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25">
      <c r="A569" s="122"/>
      <c r="B569" s="122"/>
      <c r="C569" s="23"/>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25">
      <c r="A570" s="122"/>
      <c r="B570" s="122"/>
      <c r="C570" s="23"/>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25">
      <c r="A571" s="122"/>
      <c r="B571" s="122"/>
      <c r="C571" s="23"/>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25">
      <c r="A572" s="122"/>
      <c r="B572" s="122"/>
      <c r="C572" s="23"/>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25">
      <c r="A573" s="122"/>
      <c r="B573" s="122"/>
      <c r="C573" s="23"/>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25">
      <c r="A574" s="122"/>
      <c r="B574" s="122"/>
      <c r="C574" s="23"/>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25">
      <c r="A575" s="122"/>
      <c r="B575" s="122"/>
      <c r="C575" s="23"/>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25">
      <c r="A576" s="122"/>
      <c r="B576" s="122"/>
      <c r="C576" s="23"/>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25">
      <c r="A577" s="122"/>
      <c r="B577" s="122"/>
      <c r="C577" s="23"/>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25">
      <c r="A578" s="122"/>
      <c r="B578" s="122"/>
      <c r="C578" s="23"/>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25">
      <c r="A579" s="122"/>
      <c r="B579" s="122"/>
      <c r="C579" s="23"/>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25">
      <c r="A580" s="122"/>
      <c r="B580" s="122"/>
      <c r="C580" s="23"/>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25">
      <c r="A581" s="122"/>
      <c r="B581" s="122"/>
      <c r="C581" s="23"/>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25">
      <c r="A582" s="122"/>
      <c r="B582" s="122"/>
      <c r="C582" s="23"/>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25">
      <c r="A583" s="122"/>
      <c r="B583" s="122"/>
      <c r="C583" s="23"/>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25">
      <c r="A584" s="122"/>
      <c r="B584" s="122"/>
      <c r="C584" s="23"/>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25">
      <c r="A585" s="122"/>
      <c r="B585" s="122"/>
      <c r="C585" s="23"/>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25">
      <c r="A586" s="122"/>
      <c r="B586" s="122"/>
      <c r="C586" s="23"/>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25">
      <c r="A587" s="122"/>
      <c r="B587" s="122"/>
      <c r="C587" s="23"/>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25">
      <c r="A588" s="122"/>
      <c r="B588" s="122"/>
      <c r="C588" s="23"/>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25">
      <c r="A589" s="122"/>
      <c r="B589" s="122"/>
      <c r="C589" s="23"/>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25">
      <c r="A590" s="122"/>
      <c r="B590" s="122"/>
      <c r="C590" s="23"/>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25">
      <c r="A591" s="122"/>
      <c r="B591" s="122"/>
      <c r="C591" s="23"/>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25">
      <c r="A592" s="122"/>
      <c r="B592" s="122"/>
      <c r="C592" s="23"/>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25">
      <c r="A593" s="122"/>
      <c r="B593" s="122"/>
      <c r="C593" s="23"/>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25">
      <c r="A594" s="122"/>
      <c r="B594" s="122"/>
      <c r="C594" s="23"/>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25">
      <c r="A595" s="122"/>
      <c r="B595" s="122"/>
      <c r="C595" s="23"/>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25">
      <c r="A596" s="122"/>
      <c r="B596" s="122"/>
      <c r="C596" s="23"/>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25">
      <c r="A597" s="122"/>
      <c r="B597" s="122"/>
      <c r="C597" s="23"/>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25">
      <c r="A598" s="122"/>
      <c r="B598" s="122"/>
      <c r="C598" s="23"/>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25">
      <c r="A599" s="122"/>
      <c r="B599" s="122"/>
      <c r="C599" s="23"/>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25">
      <c r="A600" s="122"/>
      <c r="B600" s="122"/>
      <c r="C600" s="23"/>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25">
      <c r="A601" s="122"/>
      <c r="B601" s="122"/>
      <c r="C601" s="23"/>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25">
      <c r="A602" s="122"/>
      <c r="B602" s="122"/>
      <c r="C602" s="23"/>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25">
      <c r="A603" s="122"/>
      <c r="B603" s="122"/>
      <c r="C603" s="23"/>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25">
      <c r="A604" s="122"/>
      <c r="B604" s="122"/>
      <c r="C604" s="23"/>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25">
      <c r="A605" s="122"/>
      <c r="B605" s="122"/>
      <c r="C605" s="23"/>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25">
      <c r="A606" s="122"/>
      <c r="B606" s="122"/>
      <c r="C606" s="23"/>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25">
      <c r="A607" s="122"/>
      <c r="B607" s="122"/>
      <c r="C607" s="23"/>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25">
      <c r="A608" s="122"/>
      <c r="B608" s="122"/>
      <c r="C608" s="23"/>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25">
      <c r="A609" s="122"/>
      <c r="B609" s="122"/>
      <c r="C609" s="23"/>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25">
      <c r="A610" s="122"/>
      <c r="B610" s="122"/>
      <c r="C610" s="23"/>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25">
      <c r="A611" s="122"/>
      <c r="B611" s="122"/>
      <c r="C611" s="23"/>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25">
      <c r="A612" s="122"/>
      <c r="B612" s="122"/>
      <c r="C612" s="23"/>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25">
      <c r="A613" s="122"/>
      <c r="B613" s="122"/>
      <c r="C613" s="23"/>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25">
      <c r="A614" s="122"/>
      <c r="B614" s="122"/>
      <c r="C614" s="23"/>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25">
      <c r="A615" s="122"/>
      <c r="B615" s="122"/>
      <c r="C615" s="23"/>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25">
      <c r="A616" s="122"/>
      <c r="B616" s="122"/>
      <c r="C616" s="23"/>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25">
      <c r="A617" s="122"/>
      <c r="B617" s="122"/>
      <c r="C617" s="23"/>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25">
      <c r="A618" s="122"/>
      <c r="B618" s="122"/>
      <c r="C618" s="23"/>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25">
      <c r="A619" s="122"/>
      <c r="B619" s="122"/>
      <c r="C619" s="23"/>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25">
      <c r="A620" s="122"/>
      <c r="B620" s="122"/>
      <c r="C620" s="23"/>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25">
      <c r="A621" s="122"/>
      <c r="B621" s="122"/>
      <c r="C621" s="23"/>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25">
      <c r="A622" s="122"/>
      <c r="B622" s="122"/>
      <c r="C622" s="23"/>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25">
      <c r="A623" s="122"/>
      <c r="B623" s="122"/>
      <c r="C623" s="23"/>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25">
      <c r="A624" s="122"/>
      <c r="B624" s="122"/>
      <c r="C624" s="23"/>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25">
      <c r="A625" s="122"/>
      <c r="B625" s="122"/>
      <c r="C625" s="23"/>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25">
      <c r="A626" s="122"/>
      <c r="B626" s="122"/>
      <c r="C626" s="23"/>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25">
      <c r="A627" s="122"/>
      <c r="B627" s="122"/>
      <c r="C627" s="23"/>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25">
      <c r="A628" s="122"/>
      <c r="B628" s="122"/>
      <c r="C628" s="23"/>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25">
      <c r="A629" s="122"/>
      <c r="B629" s="122"/>
      <c r="C629" s="23"/>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25">
      <c r="A630" s="122"/>
      <c r="B630" s="122"/>
      <c r="C630" s="23"/>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25">
      <c r="A631" s="122"/>
      <c r="B631" s="122"/>
      <c r="C631" s="23"/>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25">
      <c r="A632" s="122"/>
      <c r="B632" s="122"/>
      <c r="C632" s="23"/>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25">
      <c r="A633" s="122"/>
      <c r="B633" s="122"/>
      <c r="C633" s="23"/>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25">
      <c r="A634" s="122"/>
      <c r="B634" s="122"/>
      <c r="C634" s="23"/>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25">
      <c r="A635" s="122"/>
      <c r="B635" s="122"/>
      <c r="C635" s="23"/>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25">
      <c r="A636" s="122"/>
      <c r="B636" s="122"/>
      <c r="C636" s="23"/>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25">
      <c r="A637" s="122"/>
      <c r="B637" s="122"/>
      <c r="C637" s="23"/>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25">
      <c r="A638" s="122"/>
      <c r="B638" s="122"/>
      <c r="C638" s="23"/>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25">
      <c r="A639" s="122"/>
      <c r="B639" s="122"/>
      <c r="C639" s="23"/>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25">
      <c r="A640" s="122"/>
      <c r="B640" s="122"/>
      <c r="C640" s="23"/>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25">
      <c r="A641" s="122"/>
      <c r="B641" s="122"/>
      <c r="C641" s="23"/>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25">
      <c r="A642" s="122"/>
      <c r="B642" s="122"/>
      <c r="C642" s="23"/>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25">
      <c r="A643" s="122"/>
      <c r="B643" s="122"/>
      <c r="C643" s="23"/>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25">
      <c r="A644" s="122"/>
      <c r="B644" s="122"/>
      <c r="C644" s="23"/>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25">
      <c r="A645" s="122"/>
      <c r="B645" s="122"/>
      <c r="C645" s="23"/>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25">
      <c r="A646" s="122"/>
      <c r="B646" s="122"/>
      <c r="C646" s="23"/>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25">
      <c r="A647" s="122"/>
      <c r="B647" s="122"/>
      <c r="C647" s="23"/>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25">
      <c r="A648" s="122"/>
      <c r="B648" s="122"/>
      <c r="C648" s="23"/>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25">
      <c r="A649" s="122"/>
      <c r="B649" s="122"/>
      <c r="C649" s="23"/>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25">
      <c r="A650" s="122"/>
      <c r="B650" s="122"/>
      <c r="C650" s="23"/>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25">
      <c r="A651" s="122"/>
      <c r="B651" s="122"/>
      <c r="C651" s="23"/>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25">
      <c r="A652" s="122"/>
      <c r="B652" s="122"/>
      <c r="C652" s="23"/>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25">
      <c r="A653" s="122"/>
      <c r="B653" s="122"/>
      <c r="C653" s="23"/>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25">
      <c r="A654" s="122"/>
      <c r="B654" s="122"/>
      <c r="C654" s="23"/>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25">
      <c r="A655" s="122"/>
      <c r="B655" s="122"/>
      <c r="C655" s="23"/>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25">
      <c r="A656" s="122"/>
      <c r="B656" s="122"/>
      <c r="C656" s="23"/>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25">
      <c r="A657" s="122"/>
      <c r="B657" s="122"/>
      <c r="C657" s="23"/>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25">
      <c r="A658" s="122"/>
      <c r="B658" s="122"/>
      <c r="C658" s="23"/>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25">
      <c r="A659" s="122"/>
      <c r="B659" s="122"/>
      <c r="C659" s="23"/>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25">
      <c r="A660" s="122"/>
      <c r="B660" s="122"/>
      <c r="C660" s="23"/>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25">
      <c r="A661" s="122"/>
      <c r="B661" s="122"/>
      <c r="C661" s="23"/>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25">
      <c r="A662" s="122"/>
      <c r="B662" s="122"/>
      <c r="C662" s="23"/>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25">
      <c r="A663" s="122"/>
      <c r="B663" s="122"/>
      <c r="C663" s="23"/>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25">
      <c r="A664" s="122"/>
      <c r="B664" s="122"/>
      <c r="C664" s="23"/>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25">
      <c r="A665" s="122"/>
      <c r="B665" s="122"/>
      <c r="C665" s="23"/>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25">
      <c r="A666" s="122"/>
      <c r="B666" s="122"/>
      <c r="C666" s="23"/>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25">
      <c r="A667" s="122"/>
      <c r="B667" s="122"/>
      <c r="C667" s="23"/>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25">
      <c r="A668" s="122"/>
      <c r="B668" s="122"/>
      <c r="C668" s="23"/>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25">
      <c r="A669" s="122"/>
      <c r="B669" s="122"/>
      <c r="C669" s="23"/>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25">
      <c r="A670" s="122"/>
      <c r="B670" s="122"/>
      <c r="C670" s="23"/>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25">
      <c r="A671" s="122"/>
      <c r="B671" s="122"/>
      <c r="C671" s="23"/>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25">
      <c r="A672" s="122"/>
      <c r="B672" s="122"/>
      <c r="C672" s="23"/>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25">
      <c r="A673" s="122"/>
      <c r="B673" s="122"/>
      <c r="C673" s="23"/>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25">
      <c r="A674" s="122"/>
      <c r="B674" s="122"/>
      <c r="C674" s="23"/>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25">
      <c r="A675" s="122"/>
      <c r="B675" s="122"/>
      <c r="C675" s="23"/>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25">
      <c r="A676" s="122"/>
      <c r="B676" s="122"/>
      <c r="C676" s="23"/>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25">
      <c r="A677" s="122"/>
      <c r="B677" s="122"/>
      <c r="C677" s="23"/>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25">
      <c r="A678" s="122"/>
      <c r="B678" s="122"/>
      <c r="C678" s="23"/>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25">
      <c r="A679" s="122"/>
      <c r="B679" s="122"/>
      <c r="C679" s="23"/>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25">
      <c r="A680" s="122"/>
      <c r="B680" s="122"/>
      <c r="C680" s="23"/>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25">
      <c r="A681" s="122"/>
      <c r="B681" s="122"/>
      <c r="C681" s="23"/>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25">
      <c r="A682" s="122"/>
      <c r="B682" s="122"/>
      <c r="C682" s="23"/>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25">
      <c r="A683" s="122"/>
      <c r="B683" s="122"/>
      <c r="C683" s="23"/>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25">
      <c r="A684" s="122"/>
      <c r="B684" s="122"/>
      <c r="C684" s="23"/>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25">
      <c r="A685" s="122"/>
      <c r="B685" s="122"/>
      <c r="C685" s="23"/>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25">
      <c r="A686" s="122"/>
      <c r="B686" s="122"/>
      <c r="C686" s="23"/>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25">
      <c r="A687" s="122"/>
      <c r="B687" s="122"/>
      <c r="C687" s="23"/>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25">
      <c r="A688" s="122"/>
      <c r="B688" s="122"/>
      <c r="C688" s="23"/>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25">
      <c r="A689" s="122"/>
      <c r="B689" s="122"/>
      <c r="C689" s="23"/>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25">
      <c r="A690" s="122"/>
      <c r="B690" s="122"/>
      <c r="C690" s="23"/>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25">
      <c r="A691" s="122"/>
      <c r="B691" s="122"/>
      <c r="C691" s="23"/>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25">
      <c r="A692" s="122"/>
      <c r="B692" s="122"/>
      <c r="C692" s="23"/>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25">
      <c r="A693" s="122"/>
      <c r="B693" s="122"/>
      <c r="C693" s="23"/>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25">
      <c r="A694" s="122"/>
      <c r="B694" s="122"/>
      <c r="C694" s="23"/>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25">
      <c r="A695" s="122"/>
      <c r="B695" s="122"/>
      <c r="C695" s="23"/>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25">
      <c r="A696" s="122"/>
      <c r="B696" s="122"/>
      <c r="C696" s="23"/>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25">
      <c r="A697" s="122"/>
      <c r="B697" s="122"/>
      <c r="C697" s="23"/>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25">
      <c r="A698" s="122"/>
      <c r="B698" s="122"/>
      <c r="C698" s="23"/>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25">
      <c r="A699" s="122"/>
      <c r="B699" s="122"/>
      <c r="C699" s="23"/>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25">
      <c r="A700" s="122"/>
      <c r="B700" s="122"/>
      <c r="C700" s="23"/>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25">
      <c r="A701" s="122"/>
      <c r="B701" s="122"/>
      <c r="C701" s="23"/>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25">
      <c r="A702" s="122"/>
      <c r="B702" s="122"/>
      <c r="C702" s="23"/>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25">
      <c r="A703" s="122"/>
      <c r="B703" s="122"/>
      <c r="C703" s="23"/>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25">
      <c r="A704" s="122"/>
      <c r="B704" s="122"/>
      <c r="C704" s="23"/>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25">
      <c r="A705" s="122"/>
      <c r="B705" s="122"/>
      <c r="C705" s="23"/>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25">
      <c r="A706" s="122"/>
      <c r="B706" s="122"/>
      <c r="C706" s="23"/>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25">
      <c r="A707" s="122"/>
      <c r="B707" s="122"/>
      <c r="C707" s="23"/>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25">
      <c r="A708" s="122"/>
      <c r="B708" s="122"/>
      <c r="C708" s="23"/>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25">
      <c r="A709" s="122"/>
      <c r="B709" s="122"/>
      <c r="C709" s="23"/>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25">
      <c r="A710" s="122"/>
      <c r="B710" s="122"/>
      <c r="C710" s="23"/>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25">
      <c r="A711" s="122"/>
      <c r="B711" s="122"/>
      <c r="C711" s="23"/>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25">
      <c r="A712" s="122"/>
      <c r="B712" s="122"/>
      <c r="C712" s="23"/>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25">
      <c r="A713" s="122"/>
      <c r="B713" s="122"/>
      <c r="C713" s="23"/>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25">
      <c r="A714" s="122"/>
      <c r="B714" s="122"/>
      <c r="C714" s="23"/>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25">
      <c r="A715" s="122"/>
      <c r="B715" s="122"/>
      <c r="C715" s="23"/>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25">
      <c r="A716" s="122"/>
      <c r="B716" s="122"/>
      <c r="C716" s="23"/>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25">
      <c r="A717" s="122"/>
      <c r="B717" s="122"/>
      <c r="C717" s="23"/>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25">
      <c r="A718" s="122"/>
      <c r="B718" s="122"/>
      <c r="C718" s="23"/>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25">
      <c r="A719" s="122"/>
      <c r="B719" s="122"/>
      <c r="C719" s="23"/>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25">
      <c r="A720" s="122"/>
      <c r="B720" s="122"/>
      <c r="C720" s="23"/>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25">
      <c r="A721" s="122"/>
      <c r="B721" s="122"/>
      <c r="C721" s="23"/>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25">
      <c r="A722" s="122"/>
      <c r="B722" s="122"/>
      <c r="C722" s="23"/>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25">
      <c r="A723" s="122"/>
      <c r="B723" s="122"/>
      <c r="C723" s="23"/>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25">
      <c r="A724" s="122"/>
      <c r="B724" s="122"/>
      <c r="C724" s="23"/>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25">
      <c r="A725" s="122"/>
      <c r="B725" s="122"/>
      <c r="C725" s="23"/>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25">
      <c r="A726" s="122"/>
      <c r="B726" s="122"/>
      <c r="C726" s="23"/>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25">
      <c r="A727" s="122"/>
      <c r="B727" s="122"/>
      <c r="C727" s="23"/>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25">
      <c r="A728" s="122"/>
      <c r="B728" s="122"/>
      <c r="C728" s="23"/>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25">
      <c r="A729" s="122"/>
      <c r="B729" s="122"/>
      <c r="C729" s="23"/>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25">
      <c r="A730" s="122"/>
      <c r="B730" s="122"/>
      <c r="C730" s="23"/>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25">
      <c r="A731" s="122"/>
      <c r="B731" s="122"/>
      <c r="C731" s="23"/>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25">
      <c r="A732" s="122"/>
      <c r="B732" s="122"/>
      <c r="C732" s="23"/>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25">
      <c r="A733" s="122"/>
      <c r="B733" s="122"/>
      <c r="C733" s="23"/>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25">
      <c r="A734" s="122"/>
      <c r="B734" s="122"/>
      <c r="C734" s="23"/>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25">
      <c r="A735" s="122"/>
      <c r="B735" s="122"/>
      <c r="C735" s="23"/>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25">
      <c r="A736" s="122"/>
      <c r="B736" s="122"/>
      <c r="C736" s="23"/>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25">
      <c r="A737" s="122"/>
      <c r="B737" s="122"/>
      <c r="C737" s="23"/>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25">
      <c r="A738" s="122"/>
      <c r="B738" s="122"/>
      <c r="C738" s="23"/>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25">
      <c r="A739" s="122"/>
      <c r="B739" s="122"/>
      <c r="C739" s="23"/>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25">
      <c r="A740" s="122"/>
      <c r="B740" s="122"/>
      <c r="C740" s="23"/>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25">
      <c r="A741" s="122"/>
      <c r="B741" s="122"/>
      <c r="C741" s="23"/>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25">
      <c r="A742" s="122"/>
      <c r="B742" s="122"/>
      <c r="C742" s="23"/>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25">
      <c r="A743" s="122"/>
      <c r="B743" s="122"/>
      <c r="C743" s="23"/>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25">
      <c r="A744" s="122"/>
      <c r="B744" s="122"/>
      <c r="C744" s="23"/>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25">
      <c r="A745" s="122"/>
      <c r="B745" s="122"/>
      <c r="C745" s="23"/>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25">
      <c r="A746" s="122"/>
      <c r="B746" s="122"/>
      <c r="C746" s="23"/>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25">
      <c r="A747" s="122"/>
      <c r="B747" s="122"/>
      <c r="C747" s="23"/>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25">
      <c r="A748" s="122"/>
      <c r="B748" s="122"/>
      <c r="C748" s="23"/>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25">
      <c r="A749" s="122"/>
      <c r="B749" s="122"/>
      <c r="C749" s="23"/>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25">
      <c r="A750" s="122"/>
      <c r="B750" s="122"/>
      <c r="C750" s="23"/>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25">
      <c r="A751" s="122"/>
      <c r="B751" s="122"/>
      <c r="C751" s="23"/>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25">
      <c r="A752" s="122"/>
      <c r="B752" s="122"/>
      <c r="C752" s="23"/>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25">
      <c r="A753" s="122"/>
      <c r="B753" s="122"/>
      <c r="C753" s="23"/>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25">
      <c r="A754" s="122"/>
      <c r="B754" s="122"/>
      <c r="C754" s="23"/>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25">
      <c r="A755" s="122"/>
      <c r="B755" s="122"/>
      <c r="C755" s="23"/>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25">
      <c r="A756" s="122"/>
      <c r="B756" s="122"/>
      <c r="C756" s="23"/>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25">
      <c r="A757" s="122"/>
      <c r="B757" s="122"/>
      <c r="C757" s="23"/>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25">
      <c r="A758" s="122"/>
      <c r="B758" s="122"/>
      <c r="C758" s="23"/>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25">
      <c r="A759" s="122"/>
      <c r="B759" s="122"/>
      <c r="C759" s="23"/>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25">
      <c r="A760" s="122"/>
      <c r="B760" s="122"/>
      <c r="C760" s="23"/>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25">
      <c r="A761" s="122"/>
      <c r="B761" s="122"/>
      <c r="C761" s="23"/>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25">
      <c r="A762" s="122"/>
      <c r="B762" s="122"/>
      <c r="C762" s="23"/>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25">
      <c r="A763" s="122"/>
      <c r="B763" s="122"/>
      <c r="C763" s="23"/>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25">
      <c r="A764" s="122"/>
      <c r="B764" s="122"/>
      <c r="C764" s="23"/>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25">
      <c r="A765" s="122"/>
      <c r="B765" s="122"/>
      <c r="C765" s="23"/>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25">
      <c r="A766" s="122"/>
      <c r="B766" s="122"/>
      <c r="C766" s="23"/>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25">
      <c r="A767" s="122"/>
      <c r="B767" s="122"/>
      <c r="C767" s="23"/>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25">
      <c r="A768" s="122"/>
      <c r="B768" s="122"/>
      <c r="C768" s="23"/>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25">
      <c r="A769" s="122"/>
      <c r="B769" s="122"/>
      <c r="C769" s="23"/>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25">
      <c r="A770" s="122"/>
      <c r="B770" s="122"/>
      <c r="C770" s="23"/>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25">
      <c r="A771" s="122"/>
      <c r="B771" s="122"/>
      <c r="C771" s="23"/>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25">
      <c r="A772" s="122"/>
      <c r="B772" s="122"/>
      <c r="C772" s="23"/>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25">
      <c r="A773" s="122"/>
      <c r="B773" s="122"/>
      <c r="C773" s="23"/>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25">
      <c r="A774" s="122"/>
      <c r="B774" s="122"/>
      <c r="C774" s="23"/>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25">
      <c r="A775" s="122"/>
      <c r="B775" s="122"/>
      <c r="C775" s="23"/>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25">
      <c r="A776" s="122"/>
      <c r="B776" s="122"/>
      <c r="C776" s="23"/>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25">
      <c r="A777" s="122"/>
      <c r="B777" s="122"/>
      <c r="C777" s="23"/>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25">
      <c r="A778" s="122"/>
      <c r="B778" s="122"/>
      <c r="C778" s="23"/>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25">
      <c r="A779" s="122"/>
      <c r="B779" s="122"/>
      <c r="C779" s="23"/>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25">
      <c r="A780" s="122"/>
      <c r="B780" s="122"/>
      <c r="C780" s="23"/>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25">
      <c r="A781" s="122"/>
      <c r="B781" s="122"/>
      <c r="C781" s="23"/>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25">
      <c r="A782" s="122"/>
      <c r="B782" s="122"/>
      <c r="C782" s="23"/>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25">
      <c r="A783" s="122"/>
      <c r="B783" s="122"/>
      <c r="C783" s="23"/>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25">
      <c r="A784" s="122"/>
      <c r="B784" s="122"/>
      <c r="C784" s="23"/>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25">
      <c r="A785" s="122"/>
      <c r="B785" s="122"/>
      <c r="C785" s="23"/>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25">
      <c r="A786" s="122"/>
      <c r="B786" s="122"/>
      <c r="C786" s="23"/>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25">
      <c r="A787" s="122"/>
      <c r="B787" s="122"/>
      <c r="C787" s="23"/>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25">
      <c r="A788" s="122"/>
      <c r="B788" s="122"/>
      <c r="C788" s="23"/>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25">
      <c r="A789" s="122"/>
      <c r="B789" s="122"/>
      <c r="C789" s="23"/>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25">
      <c r="A790" s="122"/>
      <c r="B790" s="122"/>
      <c r="C790" s="23"/>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25">
      <c r="A791" s="122"/>
      <c r="B791" s="122"/>
      <c r="C791" s="23"/>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25">
      <c r="A792" s="122"/>
      <c r="B792" s="122"/>
      <c r="C792" s="23"/>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25">
      <c r="A793" s="122"/>
      <c r="B793" s="122"/>
      <c r="C793" s="23"/>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25">
      <c r="A794" s="122"/>
      <c r="B794" s="122"/>
      <c r="C794" s="23"/>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25">
      <c r="A795" s="122"/>
      <c r="B795" s="122"/>
      <c r="C795" s="23"/>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25">
      <c r="A796" s="122"/>
      <c r="B796" s="122"/>
      <c r="C796" s="23"/>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25">
      <c r="A797" s="122"/>
      <c r="B797" s="122"/>
      <c r="C797" s="23"/>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25">
      <c r="A798" s="122"/>
      <c r="B798" s="122"/>
      <c r="C798" s="23"/>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25">
      <c r="A799" s="122"/>
      <c r="B799" s="122"/>
      <c r="C799" s="23"/>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25">
      <c r="A800" s="122"/>
      <c r="B800" s="122"/>
      <c r="C800" s="23"/>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25">
      <c r="A801" s="122"/>
      <c r="B801" s="122"/>
      <c r="C801" s="23"/>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25">
      <c r="A802" s="122"/>
      <c r="B802" s="122"/>
      <c r="C802" s="23"/>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25">
      <c r="A803" s="122"/>
      <c r="B803" s="122"/>
      <c r="C803" s="23"/>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25">
      <c r="A804" s="122"/>
      <c r="B804" s="122"/>
      <c r="C804" s="23"/>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25">
      <c r="A805" s="122"/>
      <c r="B805" s="122"/>
      <c r="C805" s="23"/>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25">
      <c r="A806" s="122"/>
      <c r="B806" s="122"/>
      <c r="C806" s="23"/>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25">
      <c r="A807" s="122"/>
      <c r="B807" s="122"/>
      <c r="C807" s="23"/>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25">
      <c r="A808" s="122"/>
      <c r="B808" s="122"/>
      <c r="C808" s="23"/>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25">
      <c r="A809" s="122"/>
      <c r="B809" s="122"/>
      <c r="C809" s="23"/>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25">
      <c r="A810" s="122"/>
      <c r="B810" s="122"/>
      <c r="C810" s="23"/>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25">
      <c r="A811" s="122"/>
      <c r="B811" s="122"/>
      <c r="C811" s="23"/>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25">
      <c r="A812" s="122"/>
      <c r="B812" s="122"/>
      <c r="C812" s="23"/>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25">
      <c r="A813" s="122"/>
      <c r="B813" s="122"/>
      <c r="C813" s="23"/>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25">
      <c r="A814" s="122"/>
      <c r="B814" s="122"/>
      <c r="C814" s="23"/>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25">
      <c r="A815" s="122"/>
      <c r="B815" s="122"/>
      <c r="C815" s="23"/>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25">
      <c r="A816" s="122"/>
      <c r="B816" s="122"/>
      <c r="C816" s="23"/>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25">
      <c r="A817" s="122"/>
      <c r="B817" s="122"/>
      <c r="C817" s="23"/>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25">
      <c r="A818" s="122"/>
      <c r="B818" s="122"/>
      <c r="C818" s="23"/>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25">
      <c r="A819" s="122"/>
      <c r="B819" s="122"/>
      <c r="C819" s="23"/>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25">
      <c r="A820" s="122"/>
      <c r="B820" s="122"/>
      <c r="C820" s="23"/>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25">
      <c r="A821" s="122"/>
      <c r="B821" s="122"/>
      <c r="C821" s="23"/>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25">
      <c r="A822" s="122"/>
      <c r="B822" s="122"/>
      <c r="C822" s="23"/>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25">
      <c r="A823" s="122"/>
      <c r="B823" s="122"/>
      <c r="C823" s="23"/>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25">
      <c r="A824" s="122"/>
      <c r="B824" s="122"/>
      <c r="C824" s="23"/>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25">
      <c r="A825" s="122"/>
      <c r="B825" s="122"/>
      <c r="C825" s="23"/>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25">
      <c r="A826" s="122"/>
      <c r="B826" s="122"/>
      <c r="C826" s="23"/>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25">
      <c r="A827" s="122"/>
      <c r="B827" s="122"/>
      <c r="C827" s="23"/>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25">
      <c r="A828" s="122"/>
      <c r="B828" s="122"/>
      <c r="C828" s="23"/>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25">
      <c r="A829" s="122"/>
      <c r="B829" s="122"/>
      <c r="C829" s="23"/>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25">
      <c r="A830" s="122"/>
      <c r="B830" s="122"/>
      <c r="C830" s="23"/>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25">
      <c r="A831" s="122"/>
      <c r="B831" s="122"/>
      <c r="C831" s="23"/>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25">
      <c r="A832" s="122"/>
      <c r="B832" s="122"/>
      <c r="C832" s="23"/>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25">
      <c r="A833" s="122"/>
      <c r="B833" s="122"/>
      <c r="C833" s="23"/>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25">
      <c r="A834" s="122"/>
      <c r="B834" s="122"/>
      <c r="C834" s="23"/>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25">
      <c r="A835" s="122"/>
      <c r="B835" s="122"/>
      <c r="C835" s="23"/>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25">
      <c r="A836" s="122"/>
      <c r="B836" s="122"/>
      <c r="C836" s="23"/>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25">
      <c r="A837" s="122"/>
      <c r="B837" s="122"/>
      <c r="C837" s="23"/>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25">
      <c r="A838" s="122"/>
      <c r="B838" s="122"/>
      <c r="C838" s="23"/>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25">
      <c r="A839" s="122"/>
      <c r="B839" s="122"/>
      <c r="C839" s="23"/>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25">
      <c r="A840" s="122"/>
      <c r="B840" s="122"/>
      <c r="C840" s="23"/>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25">
      <c r="A841" s="122"/>
      <c r="B841" s="122"/>
      <c r="C841" s="23"/>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25">
      <c r="A842" s="122"/>
      <c r="B842" s="122"/>
      <c r="C842" s="23"/>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25">
      <c r="A843" s="122"/>
      <c r="B843" s="122"/>
      <c r="C843" s="23"/>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25">
      <c r="A844" s="122"/>
      <c r="B844" s="122"/>
      <c r="C844" s="23"/>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25">
      <c r="A845" s="122"/>
      <c r="B845" s="122"/>
      <c r="C845" s="23"/>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25">
      <c r="A846" s="122"/>
      <c r="B846" s="122"/>
      <c r="C846" s="23"/>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25">
      <c r="A847" s="122"/>
      <c r="B847" s="122"/>
      <c r="C847" s="23"/>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25">
      <c r="A848" s="122"/>
      <c r="B848" s="122"/>
      <c r="C848" s="23"/>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25">
      <c r="A849" s="122"/>
      <c r="B849" s="122"/>
      <c r="C849" s="23"/>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25">
      <c r="A850" s="122"/>
      <c r="B850" s="122"/>
      <c r="C850" s="23"/>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25">
      <c r="A851" s="122"/>
      <c r="B851" s="122"/>
      <c r="C851" s="23"/>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25">
      <c r="A852" s="122"/>
      <c r="B852" s="122"/>
      <c r="C852" s="23"/>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25">
      <c r="A853" s="122"/>
      <c r="B853" s="122"/>
      <c r="C853" s="23"/>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25">
      <c r="A854" s="122"/>
      <c r="B854" s="122"/>
      <c r="C854" s="23"/>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25">
      <c r="A855" s="122"/>
      <c r="B855" s="122"/>
      <c r="C855" s="23"/>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25">
      <c r="A856" s="122"/>
      <c r="B856" s="122"/>
      <c r="C856" s="23"/>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25">
      <c r="A857" s="122"/>
      <c r="B857" s="122"/>
      <c r="C857" s="23"/>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25">
      <c r="A858" s="122"/>
      <c r="B858" s="122"/>
      <c r="C858" s="23"/>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25">
      <c r="A859" s="122"/>
      <c r="B859" s="122"/>
      <c r="C859" s="23"/>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25">
      <c r="A860" s="122"/>
      <c r="B860" s="122"/>
      <c r="C860" s="23"/>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25">
      <c r="A861" s="122"/>
      <c r="B861" s="122"/>
      <c r="C861" s="23"/>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25">
      <c r="A862" s="122"/>
      <c r="B862" s="122"/>
      <c r="C862" s="23"/>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25">
      <c r="A863" s="122"/>
      <c r="B863" s="122"/>
      <c r="C863" s="23"/>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25">
      <c r="A864" s="122"/>
      <c r="B864" s="122"/>
      <c r="C864" s="23"/>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25">
      <c r="A865" s="122"/>
      <c r="B865" s="122"/>
      <c r="C865" s="23"/>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25">
      <c r="A866" s="122"/>
      <c r="B866" s="122"/>
      <c r="C866" s="23"/>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25">
      <c r="A867" s="122"/>
      <c r="B867" s="122"/>
      <c r="C867" s="23"/>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25">
      <c r="A868" s="122"/>
      <c r="B868" s="122"/>
      <c r="C868" s="23"/>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25">
      <c r="A869" s="122"/>
      <c r="B869" s="122"/>
      <c r="C869" s="23"/>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25">
      <c r="A870" s="122"/>
      <c r="B870" s="122"/>
      <c r="C870" s="23"/>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25">
      <c r="A871" s="122"/>
      <c r="B871" s="122"/>
      <c r="C871" s="23"/>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25">
      <c r="A872" s="122"/>
      <c r="B872" s="122"/>
      <c r="C872" s="23"/>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25">
      <c r="A873" s="122"/>
      <c r="B873" s="122"/>
      <c r="C873" s="23"/>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25">
      <c r="A874" s="122"/>
      <c r="B874" s="122"/>
      <c r="C874" s="23"/>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25">
      <c r="A875" s="122"/>
      <c r="B875" s="122"/>
      <c r="C875" s="23"/>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25">
      <c r="A876" s="122"/>
      <c r="B876" s="122"/>
      <c r="C876" s="23"/>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25">
      <c r="A877" s="122"/>
      <c r="B877" s="122"/>
      <c r="C877" s="23"/>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25">
      <c r="A878" s="122"/>
      <c r="B878" s="122"/>
      <c r="C878" s="23"/>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25">
      <c r="A879" s="122"/>
      <c r="B879" s="122"/>
      <c r="C879" s="23"/>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25">
      <c r="A880" s="122"/>
      <c r="B880" s="122"/>
      <c r="C880" s="23"/>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25">
      <c r="A881" s="122"/>
      <c r="B881" s="122"/>
      <c r="C881" s="23"/>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25">
      <c r="A882" s="122"/>
      <c r="B882" s="122"/>
      <c r="C882" s="23"/>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25">
      <c r="A883" s="122"/>
      <c r="B883" s="122"/>
      <c r="C883" s="23"/>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25">
      <c r="A884" s="122"/>
      <c r="B884" s="122"/>
      <c r="C884" s="23"/>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25">
      <c r="A885" s="122"/>
      <c r="B885" s="122"/>
      <c r="C885" s="23"/>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25">
      <c r="A886" s="122"/>
      <c r="B886" s="122"/>
      <c r="C886" s="23"/>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25">
      <c r="A887" s="122"/>
      <c r="B887" s="122"/>
      <c r="C887" s="23"/>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25">
      <c r="A888" s="122"/>
      <c r="B888" s="122"/>
      <c r="C888" s="23"/>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25">
      <c r="A889" s="122"/>
      <c r="B889" s="122"/>
      <c r="C889" s="23"/>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25">
      <c r="A890" s="122"/>
      <c r="B890" s="122"/>
      <c r="C890" s="23"/>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25">
      <c r="A891" s="122"/>
      <c r="B891" s="122"/>
      <c r="C891" s="23"/>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25">
      <c r="A892" s="122"/>
      <c r="B892" s="122"/>
      <c r="C892" s="23"/>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25">
      <c r="A893" s="122"/>
      <c r="B893" s="122"/>
      <c r="C893" s="23"/>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25">
      <c r="A894" s="122"/>
      <c r="B894" s="122"/>
      <c r="C894" s="23"/>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25">
      <c r="A895" s="122"/>
      <c r="B895" s="122"/>
      <c r="C895" s="23"/>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25">
      <c r="A896" s="122"/>
      <c r="B896" s="122"/>
      <c r="C896" s="23"/>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25">
      <c r="A897" s="122"/>
      <c r="B897" s="122"/>
      <c r="C897" s="23"/>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25">
      <c r="A898" s="122"/>
      <c r="B898" s="122"/>
      <c r="C898" s="23"/>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25">
      <c r="A899" s="122"/>
      <c r="B899" s="122"/>
      <c r="C899" s="23"/>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25">
      <c r="A900" s="122"/>
      <c r="B900" s="122"/>
      <c r="C900" s="23"/>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25">
      <c r="A901" s="122"/>
      <c r="B901" s="122"/>
      <c r="C901" s="23"/>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25">
      <c r="A902" s="122"/>
      <c r="B902" s="122"/>
      <c r="C902" s="23"/>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25">
      <c r="A903" s="122"/>
      <c r="B903" s="122"/>
      <c r="C903" s="23"/>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25">
      <c r="A904" s="122"/>
      <c r="B904" s="122"/>
      <c r="C904" s="23"/>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25">
      <c r="A905" s="122"/>
      <c r="B905" s="122"/>
      <c r="C905" s="23"/>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25">
      <c r="A906" s="122"/>
      <c r="B906" s="122"/>
      <c r="C906" s="23"/>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25">
      <c r="A907" s="122"/>
      <c r="B907" s="122"/>
      <c r="C907" s="23"/>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25">
      <c r="A908" s="122"/>
      <c r="B908" s="122"/>
      <c r="C908" s="23"/>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25">
      <c r="A909" s="122"/>
      <c r="B909" s="122"/>
      <c r="C909" s="23"/>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25">
      <c r="A910" s="122"/>
      <c r="B910" s="122"/>
      <c r="C910" s="23"/>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 customHeight="1" x14ac:dyDescent="0.25">
      <c r="A911" s="122"/>
      <c r="B911" s="122"/>
      <c r="C911" s="23"/>
      <c r="D911" s="7"/>
      <c r="E911" s="7"/>
    </row>
    <row r="912" spans="1:26" ht="15" customHeight="1" x14ac:dyDescent="0.25">
      <c r="A912" s="122"/>
      <c r="B912" s="122"/>
      <c r="C912" s="23"/>
      <c r="D912" s="7"/>
      <c r="E912" s="7"/>
    </row>
    <row r="913" spans="1:5" ht="15" customHeight="1" x14ac:dyDescent="0.25">
      <c r="A913" s="122"/>
      <c r="B913" s="122"/>
      <c r="C913" s="23"/>
      <c r="D913" s="7"/>
      <c r="E913" s="7"/>
    </row>
    <row r="914" spans="1:5" ht="15" customHeight="1" x14ac:dyDescent="0.25">
      <c r="A914" s="122"/>
      <c r="B914" s="122"/>
      <c r="C914" s="23"/>
      <c r="D914" s="7"/>
      <c r="E914" s="7"/>
    </row>
    <row r="915" spans="1:5" ht="15" customHeight="1" x14ac:dyDescent="0.25">
      <c r="A915" s="122"/>
      <c r="B915" s="122"/>
      <c r="C915" s="23"/>
      <c r="D915" s="7"/>
      <c r="E915" s="7"/>
    </row>
    <row r="916" spans="1:5" ht="15" customHeight="1" x14ac:dyDescent="0.25">
      <c r="A916" s="122"/>
      <c r="B916" s="122"/>
      <c r="C916" s="23"/>
      <c r="D916" s="7"/>
      <c r="E916" s="7"/>
    </row>
    <row r="917" spans="1:5" ht="15" customHeight="1" x14ac:dyDescent="0.25">
      <c r="A917" s="122"/>
      <c r="B917" s="122"/>
      <c r="C917" s="23"/>
      <c r="D917" s="7"/>
      <c r="E917" s="7"/>
    </row>
    <row r="918" spans="1:5" ht="15" customHeight="1" x14ac:dyDescent="0.25">
      <c r="A918" s="122"/>
      <c r="B918" s="122"/>
      <c r="C918" s="23"/>
      <c r="D918" s="7"/>
      <c r="E918" s="7"/>
    </row>
    <row r="919" spans="1:5" ht="15" customHeight="1" x14ac:dyDescent="0.25">
      <c r="A919" s="122"/>
      <c r="B919" s="122"/>
      <c r="C919" s="23"/>
      <c r="D919" s="7"/>
      <c r="E919" s="7"/>
    </row>
    <row r="920" spans="1:5" ht="15" customHeight="1" x14ac:dyDescent="0.25">
      <c r="A920" s="122"/>
      <c r="B920" s="122"/>
      <c r="C920" s="23"/>
      <c r="D920" s="7"/>
      <c r="E920" s="7"/>
    </row>
    <row r="921" spans="1:5" ht="15" customHeight="1" x14ac:dyDescent="0.25">
      <c r="A921" s="122"/>
      <c r="B921" s="122"/>
      <c r="C921" s="23"/>
      <c r="D921" s="7"/>
      <c r="E921" s="7"/>
    </row>
    <row r="922" spans="1:5" ht="15" customHeight="1" x14ac:dyDescent="0.25">
      <c r="A922" s="122"/>
      <c r="B922" s="122"/>
      <c r="C922" s="23"/>
      <c r="D922" s="7"/>
      <c r="E922" s="7"/>
    </row>
    <row r="923" spans="1:5" ht="15" customHeight="1" x14ac:dyDescent="0.25">
      <c r="A923" s="122"/>
      <c r="B923" s="122"/>
      <c r="C923" s="23"/>
      <c r="D923" s="7"/>
      <c r="E923" s="7"/>
    </row>
    <row r="924" spans="1:5" ht="15" customHeight="1" x14ac:dyDescent="0.25">
      <c r="A924" s="122"/>
      <c r="B924" s="122"/>
      <c r="C924" s="23"/>
      <c r="D924" s="7"/>
      <c r="E924" s="7"/>
    </row>
    <row r="925" spans="1:5" ht="15" customHeight="1" x14ac:dyDescent="0.25">
      <c r="A925" s="122"/>
      <c r="B925" s="122"/>
      <c r="C925" s="23"/>
      <c r="D925" s="7"/>
      <c r="E925" s="7"/>
    </row>
    <row r="926" spans="1:5" ht="15" customHeight="1" x14ac:dyDescent="0.25">
      <c r="A926" s="122"/>
      <c r="B926" s="122"/>
      <c r="C926" s="23"/>
      <c r="D926" s="7"/>
      <c r="E926" s="7"/>
    </row>
    <row r="927" spans="1:5" ht="15" customHeight="1" x14ac:dyDescent="0.25">
      <c r="A927" s="122"/>
      <c r="B927" s="122"/>
      <c r="C927" s="23"/>
      <c r="D927" s="7"/>
      <c r="E927" s="7"/>
    </row>
    <row r="928" spans="1:5" ht="15" customHeight="1" x14ac:dyDescent="0.25">
      <c r="A928" s="122"/>
      <c r="B928" s="122"/>
      <c r="C928" s="23"/>
      <c r="D928" s="7"/>
      <c r="E928" s="7"/>
    </row>
    <row r="929" spans="1:5" ht="15" customHeight="1" x14ac:dyDescent="0.25">
      <c r="A929" s="122"/>
      <c r="B929" s="122"/>
      <c r="C929" s="23"/>
      <c r="D929" s="7"/>
      <c r="E929" s="7"/>
    </row>
    <row r="930" spans="1:5" ht="15" customHeight="1" x14ac:dyDescent="0.25">
      <c r="A930" s="122"/>
      <c r="B930" s="122"/>
      <c r="C930" s="23"/>
      <c r="D930" s="7"/>
      <c r="E930" s="7"/>
    </row>
    <row r="931" spans="1:5" ht="15" customHeight="1" x14ac:dyDescent="0.25">
      <c r="A931" s="122"/>
      <c r="B931" s="122"/>
      <c r="C931" s="23"/>
      <c r="D931" s="7"/>
      <c r="E931" s="7"/>
    </row>
    <row r="932" spans="1:5" ht="15" customHeight="1" x14ac:dyDescent="0.25">
      <c r="A932" s="122"/>
      <c r="B932" s="122"/>
      <c r="C932" s="23"/>
      <c r="D932" s="7"/>
      <c r="E932" s="7"/>
    </row>
    <row r="933" spans="1:5" ht="15" customHeight="1" x14ac:dyDescent="0.25">
      <c r="A933" s="122"/>
      <c r="B933" s="122"/>
      <c r="C933" s="23"/>
      <c r="D933" s="7"/>
      <c r="E933" s="7"/>
    </row>
    <row r="934" spans="1:5" ht="15" customHeight="1" x14ac:dyDescent="0.25">
      <c r="A934" s="122"/>
      <c r="B934" s="122"/>
      <c r="C934" s="23"/>
      <c r="D934" s="7"/>
      <c r="E934" s="7"/>
    </row>
    <row r="935" spans="1:5" ht="15" customHeight="1" x14ac:dyDescent="0.25">
      <c r="A935" s="122"/>
      <c r="B935" s="122"/>
      <c r="C935" s="23"/>
      <c r="D935" s="7"/>
      <c r="E935" s="7"/>
    </row>
    <row r="936" spans="1:5" ht="15" customHeight="1" x14ac:dyDescent="0.25">
      <c r="A936" s="122"/>
      <c r="B936" s="122"/>
      <c r="C936" s="23"/>
      <c r="D936" s="7"/>
      <c r="E936" s="7"/>
    </row>
    <row r="937" spans="1:5" ht="15" customHeight="1" x14ac:dyDescent="0.25">
      <c r="A937" s="122"/>
      <c r="B937" s="122"/>
      <c r="C937" s="23"/>
      <c r="D937" s="7"/>
      <c r="E937" s="7"/>
    </row>
    <row r="938" spans="1:5" ht="15" customHeight="1" x14ac:dyDescent="0.25">
      <c r="A938" s="122"/>
      <c r="B938" s="122"/>
      <c r="C938" s="23"/>
      <c r="D938" s="7"/>
      <c r="E938" s="7"/>
    </row>
    <row r="939" spans="1:5" ht="15" customHeight="1" x14ac:dyDescent="0.25">
      <c r="A939" s="122"/>
      <c r="B939" s="122"/>
      <c r="C939" s="23"/>
      <c r="D939" s="7"/>
      <c r="E939" s="7"/>
    </row>
    <row r="940" spans="1:5" ht="15" customHeight="1" x14ac:dyDescent="0.25">
      <c r="A940" s="122"/>
      <c r="B940" s="122"/>
      <c r="C940" s="23"/>
      <c r="D940" s="7"/>
      <c r="E940" s="7"/>
    </row>
    <row r="941" spans="1:5" ht="15" customHeight="1" x14ac:dyDescent="0.25">
      <c r="A941" s="122"/>
      <c r="B941" s="122"/>
      <c r="C941" s="23"/>
      <c r="D941" s="7"/>
      <c r="E941" s="7"/>
    </row>
  </sheetData>
  <mergeCells count="8">
    <mergeCell ref="I6:J7"/>
    <mergeCell ref="I8:J8"/>
    <mergeCell ref="A1:B4"/>
    <mergeCell ref="C1:E1"/>
    <mergeCell ref="C2:E2"/>
    <mergeCell ref="C3:E3"/>
    <mergeCell ref="I3:J5"/>
    <mergeCell ref="C4:E4"/>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K969"/>
  <sheetViews>
    <sheetView topLeftCell="A165" workbookViewId="0">
      <selection activeCell="E179" sqref="E179"/>
    </sheetView>
  </sheetViews>
  <sheetFormatPr baseColWidth="10" defaultColWidth="14.42578125" defaultRowHeight="15" customHeight="1" x14ac:dyDescent="0.25"/>
  <cols>
    <col min="1" max="1" width="10.7109375" customWidth="1"/>
    <col min="2" max="2" width="27" bestFit="1" customWidth="1"/>
    <col min="3" max="4" width="10.7109375" customWidth="1"/>
    <col min="5" max="5" width="12.42578125" style="94" customWidth="1"/>
    <col min="6" max="6" width="17.7109375" customWidth="1"/>
    <col min="7" max="7" width="5" customWidth="1"/>
    <col min="8" max="11" width="10.7109375" customWidth="1"/>
  </cols>
  <sheetData>
    <row r="1" spans="1:6" ht="15.75" thickBot="1" x14ac:dyDescent="0.3">
      <c r="A1" s="252" t="s">
        <v>244</v>
      </c>
      <c r="B1" s="264"/>
      <c r="C1" s="264"/>
      <c r="D1" s="264"/>
      <c r="E1" s="264"/>
      <c r="F1" s="265"/>
    </row>
    <row r="2" spans="1:6" x14ac:dyDescent="0.25">
      <c r="A2" s="261" t="s">
        <v>178</v>
      </c>
      <c r="B2" s="262"/>
      <c r="C2" s="262"/>
      <c r="D2" s="262"/>
      <c r="E2" s="262"/>
      <c r="F2" s="263"/>
    </row>
    <row r="3" spans="1:6" x14ac:dyDescent="0.25">
      <c r="A3" s="277"/>
      <c r="B3" s="278"/>
      <c r="C3" s="278"/>
      <c r="D3" s="278"/>
      <c r="E3" s="160" t="s">
        <v>36</v>
      </c>
      <c r="F3" s="27">
        <v>1</v>
      </c>
    </row>
    <row r="4" spans="1:6" x14ac:dyDescent="0.25">
      <c r="A4" s="278"/>
      <c r="B4" s="278"/>
      <c r="C4" s="278"/>
      <c r="D4" s="278"/>
      <c r="E4" s="161" t="s">
        <v>37</v>
      </c>
      <c r="F4" s="29">
        <v>1</v>
      </c>
    </row>
    <row r="5" spans="1:6" x14ac:dyDescent="0.25">
      <c r="A5" s="30" t="s">
        <v>38</v>
      </c>
      <c r="B5" s="30" t="s">
        <v>39</v>
      </c>
      <c r="C5" s="30" t="s">
        <v>40</v>
      </c>
      <c r="D5" s="31" t="s">
        <v>41</v>
      </c>
      <c r="E5" s="162" t="s">
        <v>42</v>
      </c>
      <c r="F5" s="32" t="s">
        <v>43</v>
      </c>
    </row>
    <row r="6" spans="1:6" x14ac:dyDescent="0.25">
      <c r="A6" s="33"/>
      <c r="B6" s="144" t="s">
        <v>245</v>
      </c>
      <c r="C6" s="75" t="s">
        <v>25</v>
      </c>
      <c r="D6" s="104">
        <v>1</v>
      </c>
      <c r="E6" s="149">
        <f>+'LISTA MAESTRA'!D31</f>
        <v>16.399999999999999</v>
      </c>
      <c r="F6" s="147">
        <f t="shared" ref="F6:F12" si="0">E6*D6</f>
        <v>16.399999999999999</v>
      </c>
    </row>
    <row r="7" spans="1:6" x14ac:dyDescent="0.25">
      <c r="A7" s="33"/>
      <c r="B7" s="144" t="s">
        <v>152</v>
      </c>
      <c r="C7" s="75" t="s">
        <v>9</v>
      </c>
      <c r="D7" s="104">
        <v>150</v>
      </c>
      <c r="E7" s="149">
        <f>+'LISTA MAESTRA'!D34</f>
        <v>6.8</v>
      </c>
      <c r="F7" s="147">
        <f t="shared" si="0"/>
        <v>1020</v>
      </c>
    </row>
    <row r="8" spans="1:6" x14ac:dyDescent="0.25">
      <c r="A8" s="33"/>
      <c r="B8" s="144" t="s">
        <v>246</v>
      </c>
      <c r="C8" s="75" t="s">
        <v>25</v>
      </c>
      <c r="D8" s="104">
        <v>200</v>
      </c>
      <c r="E8" s="149">
        <f>+'LISTA MAESTRA'!D43</f>
        <v>2.9</v>
      </c>
      <c r="F8" s="147">
        <f t="shared" si="0"/>
        <v>580</v>
      </c>
    </row>
    <row r="9" spans="1:6" x14ac:dyDescent="0.25">
      <c r="A9" s="33"/>
      <c r="B9" s="144" t="s">
        <v>247</v>
      </c>
      <c r="C9" s="75" t="s">
        <v>9</v>
      </c>
      <c r="D9" s="104">
        <v>10</v>
      </c>
      <c r="E9" s="149">
        <f>+'LISTA MAESTRA'!D62</f>
        <v>3.4</v>
      </c>
      <c r="F9" s="147">
        <f t="shared" si="0"/>
        <v>34</v>
      </c>
    </row>
    <row r="10" spans="1:6" ht="15" customHeight="1" x14ac:dyDescent="0.25">
      <c r="A10" s="33"/>
      <c r="B10" s="145" t="s">
        <v>248</v>
      </c>
      <c r="C10" s="75" t="s">
        <v>9</v>
      </c>
      <c r="D10" s="104">
        <v>2</v>
      </c>
      <c r="E10" s="149">
        <f>+'LISTA MAESTRA'!D44</f>
        <v>22</v>
      </c>
      <c r="F10" s="147">
        <f t="shared" si="0"/>
        <v>44</v>
      </c>
    </row>
    <row r="11" spans="1:6" x14ac:dyDescent="0.25">
      <c r="A11" s="33"/>
      <c r="B11" s="145" t="s">
        <v>250</v>
      </c>
      <c r="C11" s="75" t="s">
        <v>9</v>
      </c>
      <c r="D11" s="104">
        <v>2</v>
      </c>
      <c r="E11" s="149">
        <f>+'LISTA MAESTRA'!D95</f>
        <v>2.4666666666666668</v>
      </c>
      <c r="F11" s="147">
        <f t="shared" si="0"/>
        <v>4.9333333333333336</v>
      </c>
    </row>
    <row r="12" spans="1:6" x14ac:dyDescent="0.25">
      <c r="A12" s="33"/>
      <c r="B12" s="145" t="s">
        <v>251</v>
      </c>
      <c r="C12" s="75" t="s">
        <v>9</v>
      </c>
      <c r="D12" s="104">
        <v>10</v>
      </c>
      <c r="E12" s="149">
        <f>+'LISTA MAESTRA'!D63</f>
        <v>51.666666666666664</v>
      </c>
      <c r="F12" s="147">
        <f t="shared" si="0"/>
        <v>516.66666666666663</v>
      </c>
    </row>
    <row r="13" spans="1:6" x14ac:dyDescent="0.25">
      <c r="A13" s="33"/>
      <c r="B13" s="37"/>
      <c r="C13" s="35"/>
      <c r="D13" s="36"/>
      <c r="E13" s="159"/>
      <c r="F13" s="136"/>
    </row>
    <row r="14" spans="1:6" ht="15" customHeight="1" x14ac:dyDescent="0.25">
      <c r="A14" s="243" t="s">
        <v>45</v>
      </c>
      <c r="B14" s="232"/>
      <c r="C14" s="232"/>
      <c r="D14" s="232"/>
      <c r="E14" s="228"/>
      <c r="F14" s="39">
        <f>SUM(F6:F13)</f>
        <v>2216</v>
      </c>
    </row>
    <row r="15" spans="1:6" x14ac:dyDescent="0.25">
      <c r="A15" s="249" t="s">
        <v>46</v>
      </c>
      <c r="B15" s="232"/>
      <c r="C15" s="232"/>
      <c r="D15" s="228"/>
      <c r="E15" s="165">
        <v>0.06</v>
      </c>
      <c r="F15" s="41">
        <f>+F14*E15</f>
        <v>132.96</v>
      </c>
    </row>
    <row r="16" spans="1:6" x14ac:dyDescent="0.25">
      <c r="A16" s="243" t="s">
        <v>47</v>
      </c>
      <c r="B16" s="232"/>
      <c r="C16" s="232"/>
      <c r="D16" s="232"/>
      <c r="E16" s="228"/>
      <c r="F16" s="39">
        <f>+F14+F15</f>
        <v>2348.96</v>
      </c>
    </row>
    <row r="17" spans="1:6" x14ac:dyDescent="0.25">
      <c r="A17" s="246" t="s">
        <v>48</v>
      </c>
      <c r="B17" s="232"/>
      <c r="C17" s="232"/>
      <c r="D17" s="232"/>
      <c r="E17" s="228"/>
      <c r="F17" s="42">
        <f>+F14/F4</f>
        <v>2216</v>
      </c>
    </row>
    <row r="18" spans="1:6" x14ac:dyDescent="0.25">
      <c r="A18" s="243" t="s">
        <v>45</v>
      </c>
      <c r="B18" s="232"/>
      <c r="C18" s="232"/>
      <c r="D18" s="232"/>
      <c r="E18" s="228"/>
      <c r="F18" s="39">
        <f>ROUND(F17, -2)</f>
        <v>2200</v>
      </c>
    </row>
    <row r="19" spans="1:6" ht="15.75" customHeight="1" x14ac:dyDescent="0.25"/>
    <row r="20" spans="1:6" ht="15.75" customHeight="1" thickBot="1" x14ac:dyDescent="0.3"/>
    <row r="21" spans="1:6" ht="15.75" customHeight="1" thickBot="1" x14ac:dyDescent="0.3">
      <c r="A21" s="252" t="s">
        <v>252</v>
      </c>
      <c r="B21" s="264"/>
      <c r="C21" s="264"/>
      <c r="D21" s="264"/>
      <c r="E21" s="264"/>
      <c r="F21" s="265"/>
    </row>
    <row r="22" spans="1:6" ht="15.75" customHeight="1" x14ac:dyDescent="0.25">
      <c r="A22" s="261" t="s">
        <v>178</v>
      </c>
      <c r="B22" s="262"/>
      <c r="C22" s="262"/>
      <c r="D22" s="262"/>
      <c r="E22" s="262"/>
      <c r="F22" s="263"/>
    </row>
    <row r="23" spans="1:6" x14ac:dyDescent="0.25">
      <c r="A23" s="285"/>
      <c r="B23" s="280"/>
      <c r="C23" s="280"/>
      <c r="D23" s="281"/>
      <c r="E23" s="160" t="s">
        <v>36</v>
      </c>
      <c r="F23" s="27">
        <v>2</v>
      </c>
    </row>
    <row r="24" spans="1:6" x14ac:dyDescent="0.25">
      <c r="A24" s="282"/>
      <c r="B24" s="283"/>
      <c r="C24" s="283"/>
      <c r="D24" s="284"/>
      <c r="E24" s="161" t="s">
        <v>37</v>
      </c>
      <c r="F24" s="29">
        <v>1</v>
      </c>
    </row>
    <row r="25" spans="1:6" x14ac:dyDescent="0.25">
      <c r="A25" s="30" t="s">
        <v>38</v>
      </c>
      <c r="B25" s="30" t="s">
        <v>39</v>
      </c>
      <c r="C25" s="30" t="s">
        <v>40</v>
      </c>
      <c r="D25" s="31" t="s">
        <v>41</v>
      </c>
      <c r="E25" s="162" t="s">
        <v>42</v>
      </c>
      <c r="F25" s="32" t="s">
        <v>43</v>
      </c>
    </row>
    <row r="26" spans="1:6" x14ac:dyDescent="0.25">
      <c r="A26" s="33"/>
      <c r="B26" s="144" t="s">
        <v>62</v>
      </c>
      <c r="C26" s="75" t="s">
        <v>25</v>
      </c>
      <c r="D26" s="104">
        <v>2</v>
      </c>
      <c r="E26" s="149">
        <f>+'LISTA MAESTRA'!D39</f>
        <v>433.33333333333331</v>
      </c>
      <c r="F26" s="147">
        <f t="shared" ref="F26:F31" si="1">E26*D26</f>
        <v>866.66666666666663</v>
      </c>
    </row>
    <row r="27" spans="1:6" x14ac:dyDescent="0.25">
      <c r="A27" s="33"/>
      <c r="B27" s="144" t="s">
        <v>364</v>
      </c>
      <c r="C27" s="75" t="s">
        <v>9</v>
      </c>
      <c r="D27" s="104">
        <v>20</v>
      </c>
      <c r="E27" s="149">
        <f>+'LISTA MAESTRA'!D45</f>
        <v>6.8</v>
      </c>
      <c r="F27" s="147">
        <f t="shared" si="1"/>
        <v>136</v>
      </c>
    </row>
    <row r="28" spans="1:6" x14ac:dyDescent="0.25">
      <c r="A28" s="33"/>
      <c r="B28" s="144" t="s">
        <v>278</v>
      </c>
      <c r="C28" s="75" t="s">
        <v>9</v>
      </c>
      <c r="D28" s="104">
        <v>150</v>
      </c>
      <c r="E28" s="149">
        <f>+'LISTA MAESTRA'!D46</f>
        <v>3.2</v>
      </c>
      <c r="F28" s="147">
        <f t="shared" si="1"/>
        <v>480</v>
      </c>
    </row>
    <row r="29" spans="1:6" x14ac:dyDescent="0.25">
      <c r="A29" s="33"/>
      <c r="B29" s="144" t="s">
        <v>253</v>
      </c>
      <c r="C29" s="75" t="s">
        <v>9</v>
      </c>
      <c r="D29" s="104">
        <v>60</v>
      </c>
      <c r="E29" s="149">
        <f>+'LISTA MAESTRA'!D87</f>
        <v>17.262499999999999</v>
      </c>
      <c r="F29" s="147">
        <f t="shared" si="1"/>
        <v>1035.75</v>
      </c>
    </row>
    <row r="30" spans="1:6" x14ac:dyDescent="0.25">
      <c r="A30" s="33"/>
      <c r="B30" s="144" t="s">
        <v>250</v>
      </c>
      <c r="C30" s="75" t="s">
        <v>9</v>
      </c>
      <c r="D30" s="104">
        <v>1</v>
      </c>
      <c r="E30" s="149">
        <f>+'LISTA MAESTRA'!D95</f>
        <v>2.4666666666666668</v>
      </c>
      <c r="F30" s="147">
        <f t="shared" si="1"/>
        <v>2.4666666666666668</v>
      </c>
    </row>
    <row r="31" spans="1:6" x14ac:dyDescent="0.25">
      <c r="A31" s="33"/>
      <c r="B31" s="144"/>
      <c r="C31" s="75"/>
      <c r="D31" s="104"/>
      <c r="E31" s="149"/>
      <c r="F31" s="147">
        <f t="shared" si="1"/>
        <v>0</v>
      </c>
    </row>
    <row r="32" spans="1:6" x14ac:dyDescent="0.25">
      <c r="A32" s="243" t="s">
        <v>45</v>
      </c>
      <c r="B32" s="232"/>
      <c r="C32" s="232"/>
      <c r="D32" s="232"/>
      <c r="E32" s="228"/>
      <c r="F32" s="39">
        <f>SUM(F26:F31)</f>
        <v>2520.8833333333332</v>
      </c>
    </row>
    <row r="33" spans="1:6" x14ac:dyDescent="0.25">
      <c r="A33" s="249" t="s">
        <v>46</v>
      </c>
      <c r="B33" s="232"/>
      <c r="C33" s="232"/>
      <c r="D33" s="228"/>
      <c r="E33" s="164">
        <v>0.06</v>
      </c>
      <c r="F33" s="41">
        <f>+F32*E33</f>
        <v>151.25299999999999</v>
      </c>
    </row>
    <row r="34" spans="1:6" x14ac:dyDescent="0.25">
      <c r="A34" s="243" t="s">
        <v>47</v>
      </c>
      <c r="B34" s="232"/>
      <c r="C34" s="232"/>
      <c r="D34" s="232"/>
      <c r="E34" s="228"/>
      <c r="F34" s="39">
        <f>+F32+F33</f>
        <v>2672.1363333333334</v>
      </c>
    </row>
    <row r="35" spans="1:6" ht="15.75" customHeight="1" x14ac:dyDescent="0.25">
      <c r="A35" s="246" t="s">
        <v>48</v>
      </c>
      <c r="B35" s="232"/>
      <c r="C35" s="232"/>
      <c r="D35" s="232"/>
      <c r="E35" s="228"/>
      <c r="F35" s="42">
        <f>+F32/F24</f>
        <v>2520.8833333333332</v>
      </c>
    </row>
    <row r="36" spans="1:6" ht="15.75" customHeight="1" x14ac:dyDescent="0.25">
      <c r="A36" s="243" t="s">
        <v>45</v>
      </c>
      <c r="B36" s="232"/>
      <c r="C36" s="232"/>
      <c r="D36" s="232"/>
      <c r="E36" s="228"/>
      <c r="F36" s="39">
        <f>+F34</f>
        <v>2672.1363333333334</v>
      </c>
    </row>
    <row r="37" spans="1:6" ht="15.75" customHeight="1" x14ac:dyDescent="0.25"/>
    <row r="38" spans="1:6" ht="15.75" customHeight="1" thickBot="1" x14ac:dyDescent="0.3"/>
    <row r="39" spans="1:6" ht="15.75" thickBot="1" x14ac:dyDescent="0.3">
      <c r="A39" s="252" t="s">
        <v>183</v>
      </c>
      <c r="B39" s="264"/>
      <c r="C39" s="264"/>
      <c r="D39" s="264"/>
      <c r="E39" s="264"/>
      <c r="F39" s="265"/>
    </row>
    <row r="40" spans="1:6" x14ac:dyDescent="0.25">
      <c r="A40" s="261" t="s">
        <v>178</v>
      </c>
      <c r="B40" s="262"/>
      <c r="C40" s="262"/>
      <c r="D40" s="262"/>
      <c r="E40" s="262"/>
      <c r="F40" s="263"/>
    </row>
    <row r="41" spans="1:6" x14ac:dyDescent="0.25">
      <c r="A41" s="279"/>
      <c r="B41" s="280"/>
      <c r="C41" s="280"/>
      <c r="D41" s="281"/>
      <c r="E41" s="160" t="s">
        <v>36</v>
      </c>
      <c r="F41" s="27"/>
    </row>
    <row r="42" spans="1:6" x14ac:dyDescent="0.25">
      <c r="A42" s="282"/>
      <c r="B42" s="283"/>
      <c r="C42" s="283"/>
      <c r="D42" s="284"/>
      <c r="E42" s="161" t="s">
        <v>37</v>
      </c>
      <c r="F42" s="29">
        <v>2</v>
      </c>
    </row>
    <row r="43" spans="1:6" x14ac:dyDescent="0.25">
      <c r="A43" s="30" t="s">
        <v>38</v>
      </c>
      <c r="B43" s="30" t="s">
        <v>39</v>
      </c>
      <c r="C43" s="30" t="s">
        <v>40</v>
      </c>
      <c r="D43" s="31" t="s">
        <v>41</v>
      </c>
      <c r="E43" s="162" t="s">
        <v>42</v>
      </c>
      <c r="F43" s="32" t="s">
        <v>43</v>
      </c>
    </row>
    <row r="44" spans="1:6" x14ac:dyDescent="0.25">
      <c r="A44" s="33"/>
      <c r="B44" s="144" t="s">
        <v>254</v>
      </c>
      <c r="C44" s="75" t="s">
        <v>9</v>
      </c>
      <c r="D44" s="104">
        <v>60</v>
      </c>
      <c r="E44" s="157">
        <f>+'LISTA MAESTRA'!D96</f>
        <v>3.4</v>
      </c>
      <c r="F44" s="148">
        <f>+E44*D44</f>
        <v>204</v>
      </c>
    </row>
    <row r="45" spans="1:6" x14ac:dyDescent="0.25">
      <c r="A45" s="33"/>
      <c r="B45" s="144" t="s">
        <v>255</v>
      </c>
      <c r="C45" s="75" t="s">
        <v>9</v>
      </c>
      <c r="D45" s="104">
        <v>30</v>
      </c>
      <c r="E45" s="157">
        <f>+'LISTA MAESTRA'!D97</f>
        <v>39</v>
      </c>
      <c r="F45" s="148">
        <f t="shared" ref="F45:F53" si="2">+E45*D45</f>
        <v>1170</v>
      </c>
    </row>
    <row r="46" spans="1:6" x14ac:dyDescent="0.25">
      <c r="A46" s="33"/>
      <c r="B46" s="144" t="s">
        <v>62</v>
      </c>
      <c r="C46" s="75" t="s">
        <v>365</v>
      </c>
      <c r="D46" s="104">
        <v>1</v>
      </c>
      <c r="E46" s="157">
        <f>+'LISTA MAESTRA'!D39</f>
        <v>433.33333333333331</v>
      </c>
      <c r="F46" s="148">
        <f t="shared" si="2"/>
        <v>433.33333333333331</v>
      </c>
    </row>
    <row r="47" spans="1:6" x14ac:dyDescent="0.25">
      <c r="A47" s="33"/>
      <c r="B47" s="144" t="s">
        <v>256</v>
      </c>
      <c r="C47" s="75" t="s">
        <v>20</v>
      </c>
      <c r="D47" s="104">
        <v>120</v>
      </c>
      <c r="E47" s="157">
        <f>+'LISTA MAESTRA'!D72</f>
        <v>3.65</v>
      </c>
      <c r="F47" s="148">
        <f t="shared" si="2"/>
        <v>438</v>
      </c>
    </row>
    <row r="48" spans="1:6" ht="15" customHeight="1" x14ac:dyDescent="0.25">
      <c r="A48" s="33"/>
      <c r="B48" s="145" t="s">
        <v>257</v>
      </c>
      <c r="C48" s="75" t="s">
        <v>9</v>
      </c>
      <c r="D48" s="104">
        <v>0</v>
      </c>
      <c r="E48" s="157">
        <f>+'LISTA MAESTRA'!D74</f>
        <v>23.4</v>
      </c>
      <c r="F48" s="148">
        <f t="shared" si="2"/>
        <v>0</v>
      </c>
    </row>
    <row r="49" spans="1:6" x14ac:dyDescent="0.25">
      <c r="A49" s="33"/>
      <c r="B49" s="145" t="s">
        <v>258</v>
      </c>
      <c r="C49" s="75" t="s">
        <v>9</v>
      </c>
      <c r="D49" s="104">
        <v>20</v>
      </c>
      <c r="E49" s="157">
        <f>+'LISTA MAESTRA'!D92</f>
        <v>4.5</v>
      </c>
      <c r="F49" s="148">
        <f t="shared" si="2"/>
        <v>90</v>
      </c>
    </row>
    <row r="50" spans="1:6" ht="15.75" customHeight="1" x14ac:dyDescent="0.25">
      <c r="A50" s="33"/>
      <c r="B50" s="145" t="s">
        <v>250</v>
      </c>
      <c r="C50" s="75" t="s">
        <v>9</v>
      </c>
      <c r="D50" s="104">
        <v>1</v>
      </c>
      <c r="E50" s="157">
        <f>+'LISTA MAESTRA'!D95</f>
        <v>2.4666666666666668</v>
      </c>
      <c r="F50" s="148">
        <f t="shared" si="2"/>
        <v>2.4666666666666668</v>
      </c>
    </row>
    <row r="51" spans="1:6" x14ac:dyDescent="0.25">
      <c r="A51" s="33"/>
      <c r="B51" s="145" t="s">
        <v>366</v>
      </c>
      <c r="C51" s="75" t="s">
        <v>9</v>
      </c>
      <c r="D51" s="104">
        <v>1</v>
      </c>
      <c r="E51" s="157">
        <f>+'LISTA MAESTRA'!D98</f>
        <v>95</v>
      </c>
      <c r="F51" s="148">
        <f t="shared" si="2"/>
        <v>95</v>
      </c>
    </row>
    <row r="52" spans="1:6" x14ac:dyDescent="0.25">
      <c r="A52" s="33"/>
      <c r="B52" s="145" t="s">
        <v>259</v>
      </c>
      <c r="C52" s="75" t="s">
        <v>260</v>
      </c>
      <c r="D52" s="104">
        <v>1</v>
      </c>
      <c r="E52" s="157">
        <f>+'LISTA MAESTRA'!D117</f>
        <v>13.4</v>
      </c>
      <c r="F52" s="148">
        <f t="shared" si="2"/>
        <v>13.4</v>
      </c>
    </row>
    <row r="53" spans="1:6" ht="15.75" customHeight="1" x14ac:dyDescent="0.25">
      <c r="A53" s="33"/>
      <c r="B53" s="145" t="s">
        <v>404</v>
      </c>
      <c r="C53" s="75" t="s">
        <v>9</v>
      </c>
      <c r="D53" s="104">
        <v>10</v>
      </c>
      <c r="E53" s="157">
        <f>+'LISTA MAESTRA'!D88</f>
        <v>42.408000000000001</v>
      </c>
      <c r="F53" s="148">
        <f t="shared" si="2"/>
        <v>424.08000000000004</v>
      </c>
    </row>
    <row r="54" spans="1:6" ht="15.75" customHeight="1" x14ac:dyDescent="0.25">
      <c r="A54" s="33"/>
      <c r="B54" s="76"/>
      <c r="C54" s="75"/>
      <c r="D54" s="36"/>
      <c r="E54" s="159"/>
      <c r="F54" s="136"/>
    </row>
    <row r="55" spans="1:6" ht="15.75" customHeight="1" x14ac:dyDescent="0.25">
      <c r="A55" s="33"/>
      <c r="B55" s="76"/>
      <c r="C55" s="75"/>
      <c r="D55" s="36"/>
      <c r="E55" s="159"/>
      <c r="F55" s="34"/>
    </row>
    <row r="56" spans="1:6" ht="15.75" customHeight="1" x14ac:dyDescent="0.25">
      <c r="A56" s="243" t="s">
        <v>45</v>
      </c>
      <c r="B56" s="232"/>
      <c r="C56" s="232"/>
      <c r="D56" s="232"/>
      <c r="E56" s="228"/>
      <c r="F56" s="39">
        <f>SUM(F44:F55)</f>
        <v>2870.2799999999997</v>
      </c>
    </row>
    <row r="57" spans="1:6" x14ac:dyDescent="0.25">
      <c r="A57" s="249" t="s">
        <v>46</v>
      </c>
      <c r="B57" s="232"/>
      <c r="C57" s="232"/>
      <c r="D57" s="228"/>
      <c r="E57" s="165">
        <v>0.03</v>
      </c>
      <c r="F57" s="41">
        <f>+F56*E57</f>
        <v>86.108399999999989</v>
      </c>
    </row>
    <row r="58" spans="1:6" x14ac:dyDescent="0.25">
      <c r="A58" s="243" t="s">
        <v>47</v>
      </c>
      <c r="B58" s="232"/>
      <c r="C58" s="232"/>
      <c r="D58" s="232"/>
      <c r="E58" s="228"/>
      <c r="F58" s="39">
        <f>+F56+F57</f>
        <v>2956.3883999999998</v>
      </c>
    </row>
    <row r="59" spans="1:6" x14ac:dyDescent="0.25">
      <c r="A59" s="246" t="s">
        <v>48</v>
      </c>
      <c r="B59" s="232"/>
      <c r="C59" s="232"/>
      <c r="D59" s="232"/>
      <c r="E59" s="228"/>
      <c r="F59" s="42">
        <f>+F56/F42</f>
        <v>1435.1399999999999</v>
      </c>
    </row>
    <row r="60" spans="1:6" x14ac:dyDescent="0.25">
      <c r="A60" s="243" t="s">
        <v>45</v>
      </c>
      <c r="B60" s="232"/>
      <c r="C60" s="232"/>
      <c r="D60" s="232"/>
      <c r="E60" s="228"/>
      <c r="F60" s="39">
        <f>+F58</f>
        <v>2956.3883999999998</v>
      </c>
    </row>
    <row r="62" spans="1:6" ht="15.75" thickBot="1" x14ac:dyDescent="0.3"/>
    <row r="63" spans="1:6" ht="15.75" thickBot="1" x14ac:dyDescent="0.3">
      <c r="A63" s="252" t="s">
        <v>262</v>
      </c>
      <c r="B63" s="264"/>
      <c r="C63" s="264"/>
      <c r="D63" s="264"/>
      <c r="E63" s="264"/>
      <c r="F63" s="265"/>
    </row>
    <row r="64" spans="1:6" x14ac:dyDescent="0.25">
      <c r="A64" s="261" t="s">
        <v>178</v>
      </c>
      <c r="B64" s="262"/>
      <c r="C64" s="262"/>
      <c r="D64" s="262"/>
      <c r="E64" s="262"/>
      <c r="F64" s="263"/>
    </row>
    <row r="65" spans="1:6" x14ac:dyDescent="0.25">
      <c r="A65" s="285"/>
      <c r="B65" s="280"/>
      <c r="C65" s="280"/>
      <c r="D65" s="281"/>
      <c r="E65" s="160" t="s">
        <v>36</v>
      </c>
      <c r="F65" s="27"/>
    </row>
    <row r="66" spans="1:6" ht="15" customHeight="1" x14ac:dyDescent="0.25">
      <c r="A66" s="282"/>
      <c r="B66" s="283"/>
      <c r="C66" s="283"/>
      <c r="D66" s="284"/>
      <c r="E66" s="161" t="s">
        <v>37</v>
      </c>
      <c r="F66" s="29">
        <v>1</v>
      </c>
    </row>
    <row r="67" spans="1:6" x14ac:dyDescent="0.25">
      <c r="A67" s="30" t="s">
        <v>38</v>
      </c>
      <c r="B67" s="30" t="s">
        <v>39</v>
      </c>
      <c r="C67" s="30" t="s">
        <v>40</v>
      </c>
      <c r="D67" s="31" t="s">
        <v>41</v>
      </c>
      <c r="E67" s="162" t="s">
        <v>42</v>
      </c>
      <c r="F67" s="32" t="s">
        <v>43</v>
      </c>
    </row>
    <row r="68" spans="1:6" ht="15" customHeight="1" x14ac:dyDescent="0.25">
      <c r="A68" s="33"/>
      <c r="B68" s="77" t="s">
        <v>371</v>
      </c>
      <c r="C68" s="75" t="s">
        <v>25</v>
      </c>
      <c r="D68" s="104">
        <v>1</v>
      </c>
      <c r="E68" s="158">
        <f>+'LISTA MAESTRA'!D101</f>
        <v>493.75</v>
      </c>
      <c r="F68" s="34">
        <f t="shared" ref="F68:F70" si="3">E68*D68</f>
        <v>493.75</v>
      </c>
    </row>
    <row r="69" spans="1:6" ht="15" customHeight="1" x14ac:dyDescent="0.25">
      <c r="A69" s="33"/>
      <c r="B69" s="77" t="s">
        <v>263</v>
      </c>
      <c r="C69" s="75" t="s">
        <v>20</v>
      </c>
      <c r="D69" s="104">
        <v>300</v>
      </c>
      <c r="E69" s="158">
        <f>+'LISTA MAESTRA'!D72</f>
        <v>3.65</v>
      </c>
      <c r="F69" s="34">
        <f t="shared" si="3"/>
        <v>1095</v>
      </c>
    </row>
    <row r="70" spans="1:6" x14ac:dyDescent="0.25">
      <c r="A70" s="33"/>
      <c r="B70" s="77"/>
      <c r="C70" s="75"/>
      <c r="D70" s="104"/>
      <c r="E70" s="158"/>
      <c r="F70" s="34">
        <f t="shared" si="3"/>
        <v>0</v>
      </c>
    </row>
    <row r="71" spans="1:6" x14ac:dyDescent="0.25">
      <c r="A71" s="243" t="s">
        <v>45</v>
      </c>
      <c r="B71" s="232"/>
      <c r="C71" s="232"/>
      <c r="D71" s="232"/>
      <c r="E71" s="228"/>
      <c r="F71" s="39">
        <f>SUM(F68:F70)</f>
        <v>1588.75</v>
      </c>
    </row>
    <row r="72" spans="1:6" x14ac:dyDescent="0.25">
      <c r="A72" s="249" t="s">
        <v>46</v>
      </c>
      <c r="B72" s="232"/>
      <c r="C72" s="232"/>
      <c r="D72" s="228"/>
      <c r="E72" s="165">
        <v>0.06</v>
      </c>
      <c r="F72" s="41">
        <f>+F71*E72</f>
        <v>95.325000000000003</v>
      </c>
    </row>
    <row r="73" spans="1:6" x14ac:dyDescent="0.25">
      <c r="A73" s="243" t="s">
        <v>47</v>
      </c>
      <c r="B73" s="232"/>
      <c r="C73" s="232"/>
      <c r="D73" s="232"/>
      <c r="E73" s="228"/>
      <c r="F73" s="39">
        <f>+F71+F72</f>
        <v>1684.075</v>
      </c>
    </row>
    <row r="74" spans="1:6" x14ac:dyDescent="0.25">
      <c r="A74" s="246" t="s">
        <v>48</v>
      </c>
      <c r="B74" s="232"/>
      <c r="C74" s="232"/>
      <c r="D74" s="232"/>
      <c r="E74" s="228"/>
      <c r="F74" s="42">
        <f>+F71/F66</f>
        <v>1588.75</v>
      </c>
    </row>
    <row r="75" spans="1:6" x14ac:dyDescent="0.25">
      <c r="A75" s="243" t="s">
        <v>45</v>
      </c>
      <c r="B75" s="232"/>
      <c r="C75" s="232"/>
      <c r="D75" s="232"/>
      <c r="E75" s="228"/>
      <c r="F75" s="39">
        <f>+F73</f>
        <v>1684.075</v>
      </c>
    </row>
    <row r="77" spans="1:6" ht="15.75" thickBot="1" x14ac:dyDescent="0.3"/>
    <row r="78" spans="1:6" ht="15.75" thickBot="1" x14ac:dyDescent="0.3">
      <c r="A78" s="252" t="s">
        <v>103</v>
      </c>
      <c r="B78" s="264"/>
      <c r="C78" s="264"/>
      <c r="D78" s="264"/>
      <c r="E78" s="264"/>
      <c r="F78" s="265"/>
    </row>
    <row r="79" spans="1:6" ht="15" customHeight="1" x14ac:dyDescent="0.25">
      <c r="A79" s="261" t="s">
        <v>178</v>
      </c>
      <c r="B79" s="262"/>
      <c r="C79" s="262"/>
      <c r="D79" s="262"/>
      <c r="E79" s="262"/>
      <c r="F79" s="263"/>
    </row>
    <row r="80" spans="1:6" x14ac:dyDescent="0.25">
      <c r="A80" s="286" t="s">
        <v>362</v>
      </c>
      <c r="B80" s="287"/>
      <c r="C80" s="287"/>
      <c r="D80" s="225"/>
      <c r="E80" s="160" t="s">
        <v>36</v>
      </c>
      <c r="F80" s="27"/>
    </row>
    <row r="81" spans="1:6" ht="15.75" customHeight="1" x14ac:dyDescent="0.25">
      <c r="A81" s="215"/>
      <c r="B81" s="288"/>
      <c r="C81" s="288"/>
      <c r="D81" s="226"/>
      <c r="E81" s="161" t="s">
        <v>37</v>
      </c>
      <c r="F81" s="29">
        <v>1</v>
      </c>
    </row>
    <row r="82" spans="1:6" ht="15.75" customHeight="1" x14ac:dyDescent="0.25">
      <c r="A82" s="30" t="s">
        <v>38</v>
      </c>
      <c r="B82" s="30" t="s">
        <v>39</v>
      </c>
      <c r="C82" s="30" t="s">
        <v>40</v>
      </c>
      <c r="D82" s="31" t="s">
        <v>41</v>
      </c>
      <c r="E82" s="162" t="s">
        <v>42</v>
      </c>
      <c r="F82" s="32" t="s">
        <v>43</v>
      </c>
    </row>
    <row r="83" spans="1:6" x14ac:dyDescent="0.25">
      <c r="A83" s="33"/>
      <c r="B83" s="144" t="s">
        <v>274</v>
      </c>
      <c r="C83" s="75" t="s">
        <v>9</v>
      </c>
      <c r="D83" s="104">
        <v>50</v>
      </c>
      <c r="E83" s="149">
        <f>+'LISTA MAESTRA'!D41</f>
        <v>17</v>
      </c>
      <c r="F83" s="34">
        <f t="shared" ref="F83:F89" si="4">E83*D83</f>
        <v>850</v>
      </c>
    </row>
    <row r="84" spans="1:6" ht="15.75" customHeight="1" x14ac:dyDescent="0.25">
      <c r="A84" s="33"/>
      <c r="B84" s="144" t="s">
        <v>275</v>
      </c>
      <c r="C84" s="75" t="s">
        <v>365</v>
      </c>
      <c r="D84" s="137">
        <v>0.5</v>
      </c>
      <c r="E84" s="149">
        <f>+'LISTA MAESTRA'!D50</f>
        <v>2600</v>
      </c>
      <c r="F84" s="34">
        <f t="shared" si="4"/>
        <v>1300</v>
      </c>
    </row>
    <row r="85" spans="1:6" ht="15.75" customHeight="1" x14ac:dyDescent="0.25">
      <c r="A85" s="33"/>
      <c r="B85" s="144" t="s">
        <v>321</v>
      </c>
      <c r="C85" s="75" t="s">
        <v>8</v>
      </c>
      <c r="D85" s="104">
        <v>200</v>
      </c>
      <c r="E85" s="149">
        <f>+'LISTA MAESTRA'!D51</f>
        <v>3.7</v>
      </c>
      <c r="F85" s="34">
        <f t="shared" si="4"/>
        <v>740</v>
      </c>
    </row>
    <row r="86" spans="1:6" ht="15.75" customHeight="1" x14ac:dyDescent="0.25">
      <c r="A86" s="33"/>
      <c r="B86" s="144" t="s">
        <v>276</v>
      </c>
      <c r="C86" s="75" t="s">
        <v>8</v>
      </c>
      <c r="D86" s="104">
        <v>100</v>
      </c>
      <c r="E86" s="149">
        <f>+'LISTA MAESTRA'!D52</f>
        <v>3.5</v>
      </c>
      <c r="F86" s="34">
        <f t="shared" si="4"/>
        <v>350</v>
      </c>
    </row>
    <row r="87" spans="1:6" ht="15.75" customHeight="1" x14ac:dyDescent="0.25">
      <c r="A87" s="33"/>
      <c r="B87" s="145" t="s">
        <v>277</v>
      </c>
      <c r="C87" s="75" t="s">
        <v>20</v>
      </c>
      <c r="D87" s="104">
        <v>300</v>
      </c>
      <c r="E87" s="149">
        <f>+'LISTA MAESTRA'!D47</f>
        <v>5.7</v>
      </c>
      <c r="F87" s="34">
        <f t="shared" si="4"/>
        <v>1710</v>
      </c>
    </row>
    <row r="88" spans="1:6" x14ac:dyDescent="0.25">
      <c r="A88" s="33"/>
      <c r="B88" s="105"/>
      <c r="C88" s="75"/>
      <c r="D88" s="104"/>
      <c r="E88" s="159"/>
      <c r="F88" s="34">
        <f t="shared" si="4"/>
        <v>0</v>
      </c>
    </row>
    <row r="89" spans="1:6" x14ac:dyDescent="0.25">
      <c r="A89" s="33"/>
      <c r="B89" s="105"/>
      <c r="C89" s="75"/>
      <c r="D89" s="104"/>
      <c r="E89" s="159"/>
      <c r="F89" s="34">
        <f t="shared" si="4"/>
        <v>0</v>
      </c>
    </row>
    <row r="90" spans="1:6" x14ac:dyDescent="0.25">
      <c r="A90" s="243" t="s">
        <v>45</v>
      </c>
      <c r="B90" s="232"/>
      <c r="C90" s="232"/>
      <c r="D90" s="232"/>
      <c r="E90" s="228"/>
      <c r="F90" s="39">
        <f>SUM(F83:F89)</f>
        <v>4950</v>
      </c>
    </row>
    <row r="91" spans="1:6" x14ac:dyDescent="0.25">
      <c r="A91" s="249" t="s">
        <v>46</v>
      </c>
      <c r="B91" s="232"/>
      <c r="C91" s="232"/>
      <c r="D91" s="228"/>
      <c r="E91" s="165">
        <v>0.06</v>
      </c>
      <c r="F91" s="41">
        <f>+F90*E91</f>
        <v>297</v>
      </c>
    </row>
    <row r="92" spans="1:6" x14ac:dyDescent="0.25">
      <c r="A92" s="243" t="s">
        <v>47</v>
      </c>
      <c r="B92" s="232"/>
      <c r="C92" s="232"/>
      <c r="D92" s="232"/>
      <c r="E92" s="228"/>
      <c r="F92" s="39">
        <f>+F90+F91</f>
        <v>5247</v>
      </c>
    </row>
    <row r="93" spans="1:6" x14ac:dyDescent="0.25">
      <c r="A93" s="246" t="s">
        <v>48</v>
      </c>
      <c r="B93" s="232"/>
      <c r="C93" s="232"/>
      <c r="D93" s="232"/>
      <c r="E93" s="228"/>
      <c r="F93" s="42">
        <f>+F90/F81</f>
        <v>4950</v>
      </c>
    </row>
    <row r="94" spans="1:6" x14ac:dyDescent="0.25">
      <c r="A94" s="243" t="s">
        <v>45</v>
      </c>
      <c r="B94" s="232"/>
      <c r="C94" s="232"/>
      <c r="D94" s="232"/>
      <c r="E94" s="228"/>
      <c r="F94" s="39">
        <f>+F92</f>
        <v>5247</v>
      </c>
    </row>
    <row r="96" spans="1:6" ht="15.75" thickBot="1" x14ac:dyDescent="0.3"/>
    <row r="97" spans="1:6" ht="15" customHeight="1" thickBot="1" x14ac:dyDescent="0.3">
      <c r="A97" s="252" t="s">
        <v>199</v>
      </c>
      <c r="B97" s="264"/>
      <c r="C97" s="264"/>
      <c r="D97" s="264"/>
      <c r="E97" s="264"/>
      <c r="F97" s="265"/>
    </row>
    <row r="98" spans="1:6" x14ac:dyDescent="0.25">
      <c r="A98" s="261" t="s">
        <v>178</v>
      </c>
      <c r="B98" s="262"/>
      <c r="C98" s="262"/>
      <c r="D98" s="262"/>
      <c r="E98" s="262"/>
      <c r="F98" s="263"/>
    </row>
    <row r="99" spans="1:6" ht="15.75" customHeight="1" x14ac:dyDescent="0.25">
      <c r="A99" s="289" t="s">
        <v>35</v>
      </c>
      <c r="B99" s="287"/>
      <c r="C99" s="287"/>
      <c r="D99" s="225"/>
      <c r="E99" s="160" t="s">
        <v>36</v>
      </c>
      <c r="F99" s="27"/>
    </row>
    <row r="100" spans="1:6" ht="15.75" customHeight="1" x14ac:dyDescent="0.25">
      <c r="A100" s="215"/>
      <c r="B100" s="288"/>
      <c r="C100" s="288"/>
      <c r="D100" s="226"/>
      <c r="E100" s="161" t="s">
        <v>37</v>
      </c>
      <c r="F100" s="29">
        <v>1</v>
      </c>
    </row>
    <row r="101" spans="1:6" ht="15.75" customHeight="1" x14ac:dyDescent="0.25">
      <c r="A101" s="30" t="s">
        <v>38</v>
      </c>
      <c r="B101" s="30" t="s">
        <v>39</v>
      </c>
      <c r="C101" s="30" t="s">
        <v>40</v>
      </c>
      <c r="D101" s="31" t="s">
        <v>41</v>
      </c>
      <c r="E101" s="162" t="s">
        <v>42</v>
      </c>
      <c r="F101" s="32" t="s">
        <v>43</v>
      </c>
    </row>
    <row r="102" spans="1:6" ht="15.75" customHeight="1" x14ac:dyDescent="0.25">
      <c r="A102" s="33"/>
      <c r="B102" s="77" t="s">
        <v>197</v>
      </c>
      <c r="C102" s="75" t="s">
        <v>9</v>
      </c>
      <c r="D102" s="104">
        <v>500</v>
      </c>
      <c r="E102" s="158">
        <f>+'LISTA MAESTRA'!D59</f>
        <v>7</v>
      </c>
      <c r="F102" s="34">
        <f t="shared" ref="F102:F104" si="5">E102*D102</f>
        <v>3500</v>
      </c>
    </row>
    <row r="103" spans="1:6" ht="15.75" customHeight="1" x14ac:dyDescent="0.25">
      <c r="A103" s="33"/>
      <c r="B103" s="77" t="s">
        <v>184</v>
      </c>
      <c r="C103" s="75" t="s">
        <v>20</v>
      </c>
      <c r="D103" s="104">
        <v>120</v>
      </c>
      <c r="E103" s="158">
        <f>+'LISTA MAESTRA'!D102</f>
        <v>9.92</v>
      </c>
      <c r="F103" s="34">
        <f t="shared" si="5"/>
        <v>1190.4000000000001</v>
      </c>
    </row>
    <row r="104" spans="1:6" ht="15.75" customHeight="1" x14ac:dyDescent="0.25">
      <c r="A104" s="33"/>
      <c r="B104" s="77"/>
      <c r="C104" s="75"/>
      <c r="D104" s="104"/>
      <c r="E104" s="158"/>
      <c r="F104" s="34">
        <f t="shared" si="5"/>
        <v>0</v>
      </c>
    </row>
    <row r="105" spans="1:6" x14ac:dyDescent="0.25">
      <c r="A105" s="243" t="s">
        <v>45</v>
      </c>
      <c r="B105" s="232"/>
      <c r="C105" s="232"/>
      <c r="D105" s="232"/>
      <c r="E105" s="228"/>
      <c r="F105" s="39">
        <f>SUM(F102:F104)</f>
        <v>4690.3999999999996</v>
      </c>
    </row>
    <row r="106" spans="1:6" x14ac:dyDescent="0.25">
      <c r="A106" s="249" t="s">
        <v>46</v>
      </c>
      <c r="B106" s="232"/>
      <c r="C106" s="232"/>
      <c r="D106" s="228"/>
      <c r="E106" s="165">
        <v>0.06</v>
      </c>
      <c r="F106" s="41">
        <f>+F105*E106</f>
        <v>281.42399999999998</v>
      </c>
    </row>
    <row r="107" spans="1:6" x14ac:dyDescent="0.25">
      <c r="A107" s="243" t="s">
        <v>47</v>
      </c>
      <c r="B107" s="232"/>
      <c r="C107" s="232"/>
      <c r="D107" s="232"/>
      <c r="E107" s="228"/>
      <c r="F107" s="39">
        <f>+F105+F106</f>
        <v>4971.8239999999996</v>
      </c>
    </row>
    <row r="108" spans="1:6" x14ac:dyDescent="0.25">
      <c r="A108" s="246" t="s">
        <v>48</v>
      </c>
      <c r="B108" s="232"/>
      <c r="C108" s="232"/>
      <c r="D108" s="232"/>
      <c r="E108" s="228"/>
      <c r="F108" s="42">
        <f>+F105/F100</f>
        <v>4690.3999999999996</v>
      </c>
    </row>
    <row r="109" spans="1:6" x14ac:dyDescent="0.25">
      <c r="A109" s="243" t="s">
        <v>45</v>
      </c>
      <c r="B109" s="232"/>
      <c r="C109" s="232"/>
      <c r="D109" s="232"/>
      <c r="E109" s="228"/>
      <c r="F109" s="39">
        <f>+F107</f>
        <v>4971.8239999999996</v>
      </c>
    </row>
    <row r="110" spans="1:6" ht="15.75" thickBot="1" x14ac:dyDescent="0.3"/>
    <row r="111" spans="1:6" ht="15" customHeight="1" thickBot="1" x14ac:dyDescent="0.3">
      <c r="A111" s="252" t="s">
        <v>202</v>
      </c>
      <c r="B111" s="264"/>
      <c r="C111" s="264"/>
      <c r="D111" s="264"/>
      <c r="E111" s="264"/>
      <c r="F111" s="265"/>
    </row>
    <row r="112" spans="1:6" x14ac:dyDescent="0.25">
      <c r="A112" s="261" t="s">
        <v>178</v>
      </c>
      <c r="B112" s="262"/>
      <c r="C112" s="262"/>
      <c r="D112" s="262"/>
      <c r="E112" s="262"/>
      <c r="F112" s="263"/>
    </row>
    <row r="113" spans="1:6" ht="15.75" customHeight="1" x14ac:dyDescent="0.25">
      <c r="A113" s="266" t="s">
        <v>362</v>
      </c>
      <c r="B113" s="267"/>
      <c r="C113" s="267"/>
      <c r="D113" s="268"/>
      <c r="E113" s="160" t="s">
        <v>36</v>
      </c>
      <c r="F113" s="27"/>
    </row>
    <row r="114" spans="1:6" ht="15.75" customHeight="1" x14ac:dyDescent="0.25">
      <c r="A114" s="269"/>
      <c r="B114" s="270"/>
      <c r="C114" s="270"/>
      <c r="D114" s="271"/>
      <c r="E114" s="161" t="s">
        <v>37</v>
      </c>
      <c r="F114" s="29">
        <v>10</v>
      </c>
    </row>
    <row r="115" spans="1:6" ht="15.75" customHeight="1" x14ac:dyDescent="0.25">
      <c r="A115" s="30" t="s">
        <v>38</v>
      </c>
      <c r="B115" s="30" t="s">
        <v>39</v>
      </c>
      <c r="C115" s="30" t="s">
        <v>40</v>
      </c>
      <c r="D115" s="31" t="s">
        <v>41</v>
      </c>
      <c r="E115" s="162" t="s">
        <v>42</v>
      </c>
      <c r="F115" s="32" t="s">
        <v>43</v>
      </c>
    </row>
    <row r="116" spans="1:6" ht="15.75" customHeight="1" x14ac:dyDescent="0.25">
      <c r="A116" s="33"/>
      <c r="B116" s="144" t="s">
        <v>201</v>
      </c>
      <c r="C116" s="75" t="s">
        <v>9</v>
      </c>
      <c r="D116" s="104">
        <v>500</v>
      </c>
      <c r="E116" s="149">
        <f>+'LISTA MAESTRA'!D59</f>
        <v>7</v>
      </c>
      <c r="F116" s="147">
        <f t="shared" ref="F116:F124" si="6">E116*D116</f>
        <v>3500</v>
      </c>
    </row>
    <row r="117" spans="1:6" ht="15.75" customHeight="1" x14ac:dyDescent="0.25">
      <c r="A117" s="33"/>
      <c r="B117" s="144" t="s">
        <v>285</v>
      </c>
      <c r="C117" s="75" t="s">
        <v>9</v>
      </c>
      <c r="D117" s="104">
        <v>3</v>
      </c>
      <c r="E117" s="149">
        <f>+'LISTA MAESTRA'!D64</f>
        <v>205</v>
      </c>
      <c r="F117" s="147">
        <f t="shared" si="6"/>
        <v>615</v>
      </c>
    </row>
    <row r="118" spans="1:6" ht="15.75" customHeight="1" x14ac:dyDescent="0.25">
      <c r="A118" s="33"/>
      <c r="B118" s="144" t="s">
        <v>286</v>
      </c>
      <c r="C118" s="75" t="s">
        <v>9</v>
      </c>
      <c r="D118" s="104">
        <v>400</v>
      </c>
      <c r="E118" s="149">
        <f>+'LISTA MAESTRA'!D86</f>
        <v>6.6</v>
      </c>
      <c r="F118" s="147">
        <f t="shared" si="6"/>
        <v>2640</v>
      </c>
    </row>
    <row r="119" spans="1:6" x14ac:dyDescent="0.25">
      <c r="A119" s="33"/>
      <c r="B119" s="144" t="s">
        <v>61</v>
      </c>
      <c r="C119" s="75" t="s">
        <v>20</v>
      </c>
      <c r="D119" s="104"/>
      <c r="E119" s="149"/>
      <c r="F119" s="147">
        <f t="shared" si="6"/>
        <v>0</v>
      </c>
    </row>
    <row r="120" spans="1:6" x14ac:dyDescent="0.25">
      <c r="A120" s="33"/>
      <c r="B120" s="145" t="s">
        <v>287</v>
      </c>
      <c r="C120" s="75" t="s">
        <v>9</v>
      </c>
      <c r="D120" s="104">
        <v>250</v>
      </c>
      <c r="E120" s="149">
        <f>+'LISTA MAESTRA'!D96</f>
        <v>3.4</v>
      </c>
      <c r="F120" s="147">
        <f t="shared" si="6"/>
        <v>850</v>
      </c>
    </row>
    <row r="121" spans="1:6" x14ac:dyDescent="0.25">
      <c r="A121" s="33"/>
      <c r="B121" s="145" t="s">
        <v>62</v>
      </c>
      <c r="C121" s="75" t="s">
        <v>25</v>
      </c>
      <c r="D121" s="104">
        <v>2</v>
      </c>
      <c r="E121" s="149">
        <f>+'LISTA MAESTRA'!D39</f>
        <v>433.33333333333331</v>
      </c>
      <c r="F121" s="147">
        <f t="shared" si="6"/>
        <v>866.66666666666663</v>
      </c>
    </row>
    <row r="122" spans="1:6" x14ac:dyDescent="0.25">
      <c r="A122" s="33"/>
      <c r="B122" s="145" t="s">
        <v>288</v>
      </c>
      <c r="C122" s="75" t="s">
        <v>25</v>
      </c>
      <c r="D122" s="104">
        <v>1</v>
      </c>
      <c r="E122" s="149">
        <f>+'LISTA MAESTRA'!D103</f>
        <v>2500</v>
      </c>
      <c r="F122" s="147">
        <f t="shared" si="6"/>
        <v>2500</v>
      </c>
    </row>
    <row r="123" spans="1:6" x14ac:dyDescent="0.25">
      <c r="A123" s="33"/>
      <c r="B123" s="145" t="s">
        <v>258</v>
      </c>
      <c r="C123" s="75" t="s">
        <v>9</v>
      </c>
      <c r="D123" s="104">
        <v>100</v>
      </c>
      <c r="E123" s="149">
        <f>+'LISTA MAESTRA'!D92</f>
        <v>4.5</v>
      </c>
      <c r="F123" s="147">
        <f t="shared" si="6"/>
        <v>450</v>
      </c>
    </row>
    <row r="124" spans="1:6" x14ac:dyDescent="0.25">
      <c r="A124" s="33"/>
      <c r="B124" s="105" t="s">
        <v>416</v>
      </c>
      <c r="C124" s="75" t="s">
        <v>9</v>
      </c>
      <c r="D124" s="104">
        <v>70</v>
      </c>
      <c r="E124" s="159">
        <f>+'LISTA MAESTRA'!D74</f>
        <v>23.4</v>
      </c>
      <c r="F124" s="147">
        <f t="shared" si="6"/>
        <v>1638</v>
      </c>
    </row>
    <row r="125" spans="1:6" x14ac:dyDescent="0.25">
      <c r="A125" s="243" t="s">
        <v>45</v>
      </c>
      <c r="B125" s="244"/>
      <c r="C125" s="244"/>
      <c r="D125" s="244"/>
      <c r="E125" s="245"/>
      <c r="F125" s="39">
        <f>SUM(F116:F124)</f>
        <v>13059.666666666666</v>
      </c>
    </row>
    <row r="126" spans="1:6" x14ac:dyDescent="0.25">
      <c r="A126" s="249" t="s">
        <v>46</v>
      </c>
      <c r="B126" s="250"/>
      <c r="C126" s="250"/>
      <c r="D126" s="251"/>
      <c r="E126" s="165">
        <v>0.06</v>
      </c>
      <c r="F126" s="41">
        <f>+F125*E126</f>
        <v>783.57999999999993</v>
      </c>
    </row>
    <row r="127" spans="1:6" x14ac:dyDescent="0.25">
      <c r="A127" s="243" t="s">
        <v>47</v>
      </c>
      <c r="B127" s="244"/>
      <c r="C127" s="244"/>
      <c r="D127" s="244"/>
      <c r="E127" s="245"/>
      <c r="F127" s="39">
        <f>+F125+F126</f>
        <v>13843.246666666666</v>
      </c>
    </row>
    <row r="128" spans="1:6" ht="15" customHeight="1" x14ac:dyDescent="0.25">
      <c r="A128" s="246" t="s">
        <v>48</v>
      </c>
      <c r="B128" s="247"/>
      <c r="C128" s="247"/>
      <c r="D128" s="247"/>
      <c r="E128" s="248"/>
      <c r="F128" s="42">
        <f>+F125/F114</f>
        <v>1305.9666666666667</v>
      </c>
    </row>
    <row r="129" spans="1:6" x14ac:dyDescent="0.25">
      <c r="A129" s="243" t="s">
        <v>45</v>
      </c>
      <c r="B129" s="244"/>
      <c r="C129" s="244"/>
      <c r="D129" s="244"/>
      <c r="E129" s="245"/>
      <c r="F129" s="39">
        <f>+F127</f>
        <v>13843.246666666666</v>
      </c>
    </row>
    <row r="130" spans="1:6" ht="15.75" customHeight="1" thickBot="1" x14ac:dyDescent="0.3"/>
    <row r="131" spans="1:6" ht="15.75" customHeight="1" thickBot="1" x14ac:dyDescent="0.3">
      <c r="A131" s="252" t="s">
        <v>206</v>
      </c>
      <c r="B131" s="253"/>
      <c r="C131" s="253"/>
      <c r="D131" s="253"/>
      <c r="E131" s="253"/>
      <c r="F131" s="254"/>
    </row>
    <row r="132" spans="1:6" ht="15.75" customHeight="1" x14ac:dyDescent="0.25">
      <c r="A132" s="261" t="s">
        <v>178</v>
      </c>
      <c r="B132" s="262"/>
      <c r="C132" s="262"/>
      <c r="D132" s="262"/>
      <c r="E132" s="262"/>
      <c r="F132" s="263"/>
    </row>
    <row r="133" spans="1:6" ht="15.75" customHeight="1" x14ac:dyDescent="0.25">
      <c r="A133" s="255" t="s">
        <v>367</v>
      </c>
      <c r="B133" s="272"/>
      <c r="C133" s="272"/>
      <c r="D133" s="273"/>
      <c r="E133" s="160" t="s">
        <v>36</v>
      </c>
      <c r="F133" s="27"/>
    </row>
    <row r="134" spans="1:6" ht="19.5" customHeight="1" x14ac:dyDescent="0.25">
      <c r="A134" s="274"/>
      <c r="B134" s="275"/>
      <c r="C134" s="275"/>
      <c r="D134" s="276"/>
      <c r="E134" s="161" t="s">
        <v>37</v>
      </c>
      <c r="F134" s="29">
        <v>1</v>
      </c>
    </row>
    <row r="135" spans="1:6" ht="15.75" customHeight="1" x14ac:dyDescent="0.25">
      <c r="A135" s="30" t="s">
        <v>38</v>
      </c>
      <c r="B135" s="30" t="s">
        <v>39</v>
      </c>
      <c r="C135" s="30" t="s">
        <v>40</v>
      </c>
      <c r="D135" s="31" t="s">
        <v>41</v>
      </c>
      <c r="E135" s="162" t="s">
        <v>42</v>
      </c>
      <c r="F135" s="32" t="s">
        <v>43</v>
      </c>
    </row>
    <row r="136" spans="1:6" x14ac:dyDescent="0.25">
      <c r="A136" s="33"/>
      <c r="B136" s="77" t="s">
        <v>294</v>
      </c>
      <c r="C136" s="75" t="s">
        <v>9</v>
      </c>
      <c r="D136" s="104">
        <v>300</v>
      </c>
      <c r="E136" s="158">
        <f>+'LISTA MAESTRA'!D43</f>
        <v>2.9</v>
      </c>
      <c r="F136" s="34">
        <f t="shared" ref="F136:F138" si="7">E136*D136</f>
        <v>870</v>
      </c>
    </row>
    <row r="137" spans="1:6" x14ac:dyDescent="0.25">
      <c r="A137" s="33"/>
      <c r="B137" s="77" t="s">
        <v>184</v>
      </c>
      <c r="C137" s="75" t="s">
        <v>9</v>
      </c>
      <c r="D137" s="104">
        <v>120</v>
      </c>
      <c r="E137" s="158">
        <f>+'LISTA MAESTRA'!D102</f>
        <v>9.92</v>
      </c>
      <c r="F137" s="34">
        <f t="shared" si="7"/>
        <v>1190.4000000000001</v>
      </c>
    </row>
    <row r="138" spans="1:6" x14ac:dyDescent="0.25">
      <c r="A138" s="33"/>
      <c r="B138" s="77" t="s">
        <v>295</v>
      </c>
      <c r="C138" s="75" t="s">
        <v>365</v>
      </c>
      <c r="D138" s="104"/>
      <c r="E138" s="158"/>
      <c r="F138" s="34">
        <f t="shared" si="7"/>
        <v>0</v>
      </c>
    </row>
    <row r="139" spans="1:6" x14ac:dyDescent="0.25">
      <c r="A139" s="33"/>
      <c r="B139" s="77"/>
      <c r="C139" s="75"/>
      <c r="D139" s="104"/>
      <c r="E139" s="159"/>
      <c r="F139" s="34">
        <v>0</v>
      </c>
    </row>
    <row r="140" spans="1:6" x14ac:dyDescent="0.25">
      <c r="A140" s="243" t="s">
        <v>45</v>
      </c>
      <c r="B140" s="244"/>
      <c r="C140" s="244"/>
      <c r="D140" s="244"/>
      <c r="E140" s="245"/>
      <c r="F140" s="39">
        <f>SUM(F136:F139)</f>
        <v>2060.4</v>
      </c>
    </row>
    <row r="141" spans="1:6" x14ac:dyDescent="0.25">
      <c r="A141" s="249" t="s">
        <v>46</v>
      </c>
      <c r="B141" s="250"/>
      <c r="C141" s="250"/>
      <c r="D141" s="251"/>
      <c r="E141" s="165">
        <v>0.06</v>
      </c>
      <c r="F141" s="41">
        <f>+F140*E141</f>
        <v>123.624</v>
      </c>
    </row>
    <row r="142" spans="1:6" x14ac:dyDescent="0.25">
      <c r="A142" s="243" t="s">
        <v>47</v>
      </c>
      <c r="B142" s="244"/>
      <c r="C142" s="244"/>
      <c r="D142" s="244"/>
      <c r="E142" s="245"/>
      <c r="F142" s="39">
        <f>+F140+F141</f>
        <v>2184.0239999999999</v>
      </c>
    </row>
    <row r="143" spans="1:6" ht="15" customHeight="1" x14ac:dyDescent="0.25">
      <c r="A143" s="246" t="s">
        <v>48</v>
      </c>
      <c r="B143" s="247"/>
      <c r="C143" s="247"/>
      <c r="D143" s="247"/>
      <c r="E143" s="248"/>
      <c r="F143" s="42">
        <f>+F140/F134</f>
        <v>2060.4</v>
      </c>
    </row>
    <row r="144" spans="1:6" x14ac:dyDescent="0.25">
      <c r="A144" s="243" t="s">
        <v>45</v>
      </c>
      <c r="B144" s="244"/>
      <c r="C144" s="244"/>
      <c r="D144" s="244"/>
      <c r="E144" s="245"/>
      <c r="F144" s="39">
        <f>+F142</f>
        <v>2184.0239999999999</v>
      </c>
    </row>
    <row r="145" spans="1:6" ht="15.75" customHeight="1" thickBot="1" x14ac:dyDescent="0.3"/>
    <row r="146" spans="1:6" ht="15.75" customHeight="1" thickBot="1" x14ac:dyDescent="0.3">
      <c r="A146" s="252" t="s">
        <v>211</v>
      </c>
      <c r="B146" s="253"/>
      <c r="C146" s="253"/>
      <c r="D146" s="253"/>
      <c r="E146" s="253"/>
      <c r="F146" s="254"/>
    </row>
    <row r="147" spans="1:6" ht="15.75" customHeight="1" x14ac:dyDescent="0.25">
      <c r="A147" s="261" t="s">
        <v>178</v>
      </c>
      <c r="B147" s="262"/>
      <c r="C147" s="262"/>
      <c r="D147" s="262"/>
      <c r="E147" s="262"/>
      <c r="F147" s="263"/>
    </row>
    <row r="148" spans="1:6" ht="15.75" customHeight="1" x14ac:dyDescent="0.25">
      <c r="A148" s="237" t="s">
        <v>367</v>
      </c>
      <c r="B148" s="238"/>
      <c r="C148" s="238"/>
      <c r="D148" s="239"/>
      <c r="E148" s="160" t="s">
        <v>36</v>
      </c>
      <c r="F148" s="27"/>
    </row>
    <row r="149" spans="1:6" ht="19.5" customHeight="1" x14ac:dyDescent="0.25">
      <c r="A149" s="240"/>
      <c r="B149" s="241"/>
      <c r="C149" s="241"/>
      <c r="D149" s="242"/>
      <c r="E149" s="161" t="s">
        <v>37</v>
      </c>
      <c r="F149" s="29">
        <v>2</v>
      </c>
    </row>
    <row r="150" spans="1:6" ht="15.75" customHeight="1" x14ac:dyDescent="0.25">
      <c r="A150" s="30" t="s">
        <v>38</v>
      </c>
      <c r="B150" s="30" t="s">
        <v>39</v>
      </c>
      <c r="C150" s="30" t="s">
        <v>40</v>
      </c>
      <c r="D150" s="31" t="s">
        <v>41</v>
      </c>
      <c r="E150" s="162" t="s">
        <v>42</v>
      </c>
      <c r="F150" s="32" t="s">
        <v>43</v>
      </c>
    </row>
    <row r="151" spans="1:6" x14ac:dyDescent="0.25">
      <c r="A151" s="33"/>
      <c r="B151" s="77" t="s">
        <v>300</v>
      </c>
      <c r="C151" s="146" t="s">
        <v>9</v>
      </c>
      <c r="D151" s="150">
        <v>300</v>
      </c>
      <c r="E151" s="152">
        <f>+'LISTA MAESTRA'!D30</f>
        <v>23.4</v>
      </c>
      <c r="F151" s="151">
        <f t="shared" ref="F151:F161" si="8">E151*D151</f>
        <v>7020</v>
      </c>
    </row>
    <row r="152" spans="1:6" x14ac:dyDescent="0.25">
      <c r="A152" s="33"/>
      <c r="B152" s="77" t="s">
        <v>301</v>
      </c>
      <c r="C152" s="146" t="s">
        <v>9</v>
      </c>
      <c r="D152" s="150">
        <v>100</v>
      </c>
      <c r="E152" s="152">
        <f>+'LISTA MAESTRA'!D49</f>
        <v>4.5999999999999996</v>
      </c>
      <c r="F152" s="151">
        <f t="shared" si="8"/>
        <v>459.99999999999994</v>
      </c>
    </row>
    <row r="153" spans="1:6" x14ac:dyDescent="0.25">
      <c r="A153" s="33"/>
      <c r="B153" s="77" t="s">
        <v>302</v>
      </c>
      <c r="C153" s="146" t="s">
        <v>9</v>
      </c>
      <c r="D153" s="150">
        <v>100</v>
      </c>
      <c r="E153" s="152">
        <f>+'LISTA MAESTRA'!D48</f>
        <v>3.7</v>
      </c>
      <c r="F153" s="151">
        <f t="shared" si="8"/>
        <v>370</v>
      </c>
    </row>
    <row r="154" spans="1:6" x14ac:dyDescent="0.25">
      <c r="A154" s="33"/>
      <c r="B154" s="77" t="s">
        <v>249</v>
      </c>
      <c r="C154" s="146" t="s">
        <v>9</v>
      </c>
      <c r="D154" s="150">
        <v>100</v>
      </c>
      <c r="E154" s="152">
        <f>+'LISTA MAESTRA'!D60</f>
        <v>10.6</v>
      </c>
      <c r="F154" s="151">
        <f t="shared" si="8"/>
        <v>1060</v>
      </c>
    </row>
    <row r="155" spans="1:6" x14ac:dyDescent="0.25">
      <c r="A155" s="33"/>
      <c r="B155" s="105" t="s">
        <v>303</v>
      </c>
      <c r="C155" s="146" t="s">
        <v>179</v>
      </c>
      <c r="D155" s="150">
        <v>1</v>
      </c>
      <c r="E155" s="152">
        <f>+F314</f>
        <v>558.18412992357435</v>
      </c>
      <c r="F155" s="151">
        <f t="shared" si="8"/>
        <v>558.18412992357435</v>
      </c>
    </row>
    <row r="156" spans="1:6" x14ac:dyDescent="0.25">
      <c r="A156" s="33"/>
      <c r="B156" s="105" t="s">
        <v>312</v>
      </c>
      <c r="C156" s="146" t="s">
        <v>25</v>
      </c>
      <c r="D156" s="150">
        <v>2</v>
      </c>
      <c r="E156" s="152">
        <f>+'LISTA MAESTRA'!D104</f>
        <v>78.180000000000007</v>
      </c>
      <c r="F156" s="151">
        <f t="shared" si="8"/>
        <v>156.36000000000001</v>
      </c>
    </row>
    <row r="157" spans="1:6" x14ac:dyDescent="0.25">
      <c r="A157" s="33"/>
      <c r="B157" s="105" t="s">
        <v>313</v>
      </c>
      <c r="C157" s="146" t="s">
        <v>9</v>
      </c>
      <c r="D157" s="150">
        <v>20</v>
      </c>
      <c r="E157" s="152">
        <f>+'LISTA MAESTRA'!D105</f>
        <v>28.157894736842106</v>
      </c>
      <c r="F157" s="151">
        <f t="shared" si="8"/>
        <v>563.15789473684208</v>
      </c>
    </row>
    <row r="158" spans="1:6" x14ac:dyDescent="0.25">
      <c r="A158" s="33"/>
      <c r="B158" s="105" t="s">
        <v>314</v>
      </c>
      <c r="C158" s="146" t="s">
        <v>9</v>
      </c>
      <c r="D158" s="150">
        <v>40</v>
      </c>
      <c r="E158" s="152"/>
      <c r="F158" s="151">
        <f t="shared" si="8"/>
        <v>0</v>
      </c>
    </row>
    <row r="159" spans="1:6" x14ac:dyDescent="0.25">
      <c r="A159" s="33"/>
      <c r="B159" s="105" t="s">
        <v>315</v>
      </c>
      <c r="C159" s="146" t="s">
        <v>9</v>
      </c>
      <c r="D159" s="150">
        <v>40</v>
      </c>
      <c r="E159" s="152"/>
      <c r="F159" s="151">
        <f t="shared" si="8"/>
        <v>0</v>
      </c>
    </row>
    <row r="160" spans="1:6" ht="15" customHeight="1" x14ac:dyDescent="0.25">
      <c r="A160" s="33"/>
      <c r="B160" s="105"/>
      <c r="C160" s="146"/>
      <c r="D160" s="150"/>
      <c r="E160" s="152"/>
      <c r="F160" s="151">
        <f t="shared" si="8"/>
        <v>0</v>
      </c>
    </row>
    <row r="161" spans="1:6" x14ac:dyDescent="0.25">
      <c r="A161" s="33"/>
      <c r="B161" s="105"/>
      <c r="C161" s="75"/>
      <c r="D161" s="104"/>
      <c r="E161" s="159"/>
      <c r="F161" s="34">
        <f t="shared" si="8"/>
        <v>0</v>
      </c>
    </row>
    <row r="162" spans="1:6" ht="15.75" customHeight="1" x14ac:dyDescent="0.25">
      <c r="A162" s="243" t="s">
        <v>45</v>
      </c>
      <c r="B162" s="244"/>
      <c r="C162" s="244"/>
      <c r="D162" s="244"/>
      <c r="E162" s="245"/>
      <c r="F162" s="39">
        <f>SUM(F151:F161)</f>
        <v>10187.702024660417</v>
      </c>
    </row>
    <row r="163" spans="1:6" ht="15.75" customHeight="1" x14ac:dyDescent="0.25">
      <c r="A163" s="249" t="s">
        <v>46</v>
      </c>
      <c r="B163" s="250"/>
      <c r="C163" s="250"/>
      <c r="D163" s="251"/>
      <c r="E163" s="165">
        <v>0.06</v>
      </c>
      <c r="F163" s="41">
        <f>+F162*E163</f>
        <v>611.26212147962497</v>
      </c>
    </row>
    <row r="164" spans="1:6" ht="15.75" customHeight="1" x14ac:dyDescent="0.25">
      <c r="A164" s="243" t="s">
        <v>47</v>
      </c>
      <c r="B164" s="244"/>
      <c r="C164" s="244"/>
      <c r="D164" s="244"/>
      <c r="E164" s="245"/>
      <c r="F164" s="39">
        <f>+F162+F163</f>
        <v>10798.964146140042</v>
      </c>
    </row>
    <row r="165" spans="1:6" ht="15.75" customHeight="1" x14ac:dyDescent="0.25">
      <c r="A165" s="246" t="s">
        <v>48</v>
      </c>
      <c r="B165" s="247"/>
      <c r="C165" s="247"/>
      <c r="D165" s="247"/>
      <c r="E165" s="248"/>
      <c r="F165" s="42">
        <f>+F162/F149</f>
        <v>5093.8510123302085</v>
      </c>
    </row>
    <row r="166" spans="1:6" ht="19.5" customHeight="1" x14ac:dyDescent="0.25">
      <c r="A166" s="243" t="s">
        <v>45</v>
      </c>
      <c r="B166" s="244"/>
      <c r="C166" s="244"/>
      <c r="D166" s="244"/>
      <c r="E166" s="245"/>
      <c r="F166" s="39">
        <f>+F164</f>
        <v>10798.964146140042</v>
      </c>
    </row>
    <row r="167" spans="1:6" ht="15.75" customHeight="1" thickBot="1" x14ac:dyDescent="0.3"/>
    <row r="168" spans="1:6" ht="15.75" thickBot="1" x14ac:dyDescent="0.3">
      <c r="A168" s="252" t="s">
        <v>212</v>
      </c>
      <c r="B168" s="253"/>
      <c r="C168" s="253"/>
      <c r="D168" s="253"/>
      <c r="E168" s="253"/>
      <c r="F168" s="254"/>
    </row>
    <row r="169" spans="1:6" x14ac:dyDescent="0.25">
      <c r="A169" s="261" t="s">
        <v>178</v>
      </c>
      <c r="B169" s="262"/>
      <c r="C169" s="262"/>
      <c r="D169" s="262"/>
      <c r="E169" s="262"/>
      <c r="F169" s="263"/>
    </row>
    <row r="170" spans="1:6" x14ac:dyDescent="0.25">
      <c r="A170" s="255" t="s">
        <v>367</v>
      </c>
      <c r="B170" s="256"/>
      <c r="C170" s="256"/>
      <c r="D170" s="257"/>
      <c r="E170" s="160" t="s">
        <v>36</v>
      </c>
      <c r="F170" s="27"/>
    </row>
    <row r="171" spans="1:6" x14ac:dyDescent="0.25">
      <c r="A171" s="258"/>
      <c r="B171" s="259"/>
      <c r="C171" s="259"/>
      <c r="D171" s="260"/>
      <c r="E171" s="161" t="s">
        <v>37</v>
      </c>
      <c r="F171" s="29">
        <v>12</v>
      </c>
    </row>
    <row r="172" spans="1:6" x14ac:dyDescent="0.25">
      <c r="A172" s="30" t="s">
        <v>38</v>
      </c>
      <c r="B172" s="30" t="s">
        <v>39</v>
      </c>
      <c r="C172" s="30" t="s">
        <v>40</v>
      </c>
      <c r="D172" s="31" t="s">
        <v>41</v>
      </c>
      <c r="E172" s="162" t="s">
        <v>42</v>
      </c>
      <c r="F172" s="32" t="s">
        <v>43</v>
      </c>
    </row>
    <row r="173" spans="1:6" x14ac:dyDescent="0.25">
      <c r="A173" s="33"/>
      <c r="B173" s="321" t="s">
        <v>429</v>
      </c>
      <c r="C173" s="75" t="s">
        <v>9</v>
      </c>
      <c r="D173" s="104">
        <v>2000</v>
      </c>
      <c r="E173" s="149">
        <f>+'LISTA MAESTRA'!D125</f>
        <v>3.6</v>
      </c>
      <c r="F173" s="147">
        <f>+E173*D173</f>
        <v>7200</v>
      </c>
    </row>
    <row r="174" spans="1:6" x14ac:dyDescent="0.25">
      <c r="A174" s="33"/>
      <c r="B174" s="321" t="s">
        <v>430</v>
      </c>
      <c r="C174" s="75" t="s">
        <v>179</v>
      </c>
      <c r="D174" s="104">
        <v>1</v>
      </c>
      <c r="E174" s="149">
        <f>+F420</f>
        <v>418.75</v>
      </c>
      <c r="F174" s="147">
        <f t="shared" ref="F174:F180" si="9">+E174*D174</f>
        <v>418.75</v>
      </c>
    </row>
    <row r="175" spans="1:6" x14ac:dyDescent="0.25">
      <c r="A175" s="33"/>
      <c r="B175" s="144" t="s">
        <v>311</v>
      </c>
      <c r="C175" s="75" t="s">
        <v>20</v>
      </c>
      <c r="D175" s="104">
        <v>30</v>
      </c>
      <c r="E175" s="149">
        <f>+'LISTA MAESTRA'!D90</f>
        <v>11.25</v>
      </c>
      <c r="F175" s="147">
        <f t="shared" si="9"/>
        <v>337.5</v>
      </c>
    </row>
    <row r="176" spans="1:6" x14ac:dyDescent="0.25">
      <c r="A176" s="33"/>
      <c r="B176" s="144" t="s">
        <v>250</v>
      </c>
      <c r="C176" s="75" t="s">
        <v>9</v>
      </c>
      <c r="D176" s="104">
        <v>3</v>
      </c>
      <c r="E176" s="149">
        <f>+'LISTA MAESTRA'!D95</f>
        <v>2.4666666666666668</v>
      </c>
      <c r="F176" s="147">
        <f t="shared" si="9"/>
        <v>7.4</v>
      </c>
    </row>
    <row r="177" spans="1:11" ht="15" customHeight="1" x14ac:dyDescent="0.25">
      <c r="A177" s="33"/>
      <c r="B177" s="145" t="s">
        <v>317</v>
      </c>
      <c r="C177" s="75" t="s">
        <v>365</v>
      </c>
      <c r="D177" s="104">
        <v>1</v>
      </c>
      <c r="E177" s="149">
        <f>+'LISTA MAESTRA'!D100</f>
        <v>225</v>
      </c>
      <c r="F177" s="147">
        <f t="shared" si="9"/>
        <v>225</v>
      </c>
    </row>
    <row r="178" spans="1:11" x14ac:dyDescent="0.25">
      <c r="A178" s="33"/>
      <c r="B178" s="145" t="s">
        <v>318</v>
      </c>
      <c r="C178" s="75" t="s">
        <v>365</v>
      </c>
      <c r="D178" s="104">
        <v>1</v>
      </c>
      <c r="E178" s="149">
        <v>37</v>
      </c>
      <c r="F178" s="147">
        <f t="shared" si="9"/>
        <v>37</v>
      </c>
    </row>
    <row r="179" spans="1:11" ht="15.75" customHeight="1" x14ac:dyDescent="0.25">
      <c r="A179" s="33"/>
      <c r="B179" s="145"/>
      <c r="C179" s="75"/>
      <c r="D179" s="104"/>
      <c r="E179" s="149"/>
      <c r="F179" s="147">
        <f t="shared" si="9"/>
        <v>0</v>
      </c>
    </row>
    <row r="180" spans="1:11" ht="15.75" customHeight="1" x14ac:dyDescent="0.25">
      <c r="A180" s="33"/>
      <c r="B180" s="145"/>
      <c r="C180" s="75"/>
      <c r="D180" s="104"/>
      <c r="E180" s="149"/>
      <c r="F180" s="147">
        <f t="shared" si="9"/>
        <v>0</v>
      </c>
    </row>
    <row r="181" spans="1:11" ht="15.75" customHeight="1" x14ac:dyDescent="0.25">
      <c r="A181" s="243" t="s">
        <v>45</v>
      </c>
      <c r="B181" s="244"/>
      <c r="C181" s="244"/>
      <c r="D181" s="244"/>
      <c r="E181" s="245"/>
      <c r="F181" s="39">
        <f>SUM(F173:F180)</f>
        <v>8225.65</v>
      </c>
    </row>
    <row r="182" spans="1:11" ht="15.75" customHeight="1" x14ac:dyDescent="0.25">
      <c r="A182" s="249" t="s">
        <v>46</v>
      </c>
      <c r="B182" s="250"/>
      <c r="C182" s="250"/>
      <c r="D182" s="251"/>
      <c r="E182" s="165">
        <v>0.06</v>
      </c>
      <c r="F182" s="41">
        <f>+F181*E182</f>
        <v>493.53899999999999</v>
      </c>
    </row>
    <row r="183" spans="1:11" ht="19.5" customHeight="1" x14ac:dyDescent="0.25">
      <c r="A183" s="243" t="s">
        <v>47</v>
      </c>
      <c r="B183" s="244"/>
      <c r="C183" s="244"/>
      <c r="D183" s="244"/>
      <c r="E183" s="245"/>
      <c r="F183" s="39">
        <f>+F181+F182</f>
        <v>8719.1890000000003</v>
      </c>
    </row>
    <row r="184" spans="1:11" ht="15.75" customHeight="1" x14ac:dyDescent="0.25">
      <c r="A184" s="246" t="s">
        <v>48</v>
      </c>
      <c r="B184" s="247"/>
      <c r="C184" s="247"/>
      <c r="D184" s="247"/>
      <c r="E184" s="248"/>
      <c r="F184" s="42">
        <f>+F181/F171</f>
        <v>685.4708333333333</v>
      </c>
    </row>
    <row r="185" spans="1:11" x14ac:dyDescent="0.25">
      <c r="A185" s="243" t="s">
        <v>45</v>
      </c>
      <c r="B185" s="244"/>
      <c r="C185" s="244"/>
      <c r="D185" s="244"/>
      <c r="E185" s="245"/>
      <c r="F185" s="39">
        <f>+F183</f>
        <v>8719.1890000000003</v>
      </c>
    </row>
    <row r="186" spans="1:11" ht="15.75" thickBot="1" x14ac:dyDescent="0.3"/>
    <row r="187" spans="1:11" ht="15.75" thickBot="1" x14ac:dyDescent="0.3">
      <c r="A187" s="252" t="s">
        <v>214</v>
      </c>
      <c r="B187" s="253"/>
      <c r="C187" s="253"/>
      <c r="D187" s="253"/>
      <c r="E187" s="253"/>
      <c r="F187" s="254"/>
      <c r="H187" s="154" t="s">
        <v>406</v>
      </c>
      <c r="I187" s="155"/>
      <c r="J187" s="155"/>
      <c r="K187" s="155"/>
    </row>
    <row r="188" spans="1:11" x14ac:dyDescent="0.25">
      <c r="A188" s="261" t="s">
        <v>178</v>
      </c>
      <c r="B188" s="262"/>
      <c r="C188" s="262"/>
      <c r="D188" s="262"/>
      <c r="E188" s="262"/>
      <c r="F188" s="263"/>
    </row>
    <row r="189" spans="1:11" x14ac:dyDescent="0.25">
      <c r="A189" s="255" t="s">
        <v>367</v>
      </c>
      <c r="B189" s="272"/>
      <c r="C189" s="272"/>
      <c r="D189" s="273"/>
      <c r="E189" s="160" t="s">
        <v>36</v>
      </c>
      <c r="F189" s="27"/>
    </row>
    <row r="190" spans="1:11" x14ac:dyDescent="0.25">
      <c r="A190" s="274"/>
      <c r="B190" s="275"/>
      <c r="C190" s="275"/>
      <c r="D190" s="276"/>
      <c r="E190" s="161" t="s">
        <v>37</v>
      </c>
      <c r="F190" s="29">
        <v>10</v>
      </c>
    </row>
    <row r="191" spans="1:11" x14ac:dyDescent="0.25">
      <c r="A191" s="30" t="s">
        <v>38</v>
      </c>
      <c r="B191" s="30" t="s">
        <v>39</v>
      </c>
      <c r="C191" s="30" t="s">
        <v>40</v>
      </c>
      <c r="D191" s="31" t="s">
        <v>41</v>
      </c>
      <c r="E191" s="162" t="s">
        <v>42</v>
      </c>
      <c r="F191" s="32" t="s">
        <v>43</v>
      </c>
    </row>
    <row r="192" spans="1:11" x14ac:dyDescent="0.25">
      <c r="A192" s="33"/>
      <c r="B192" s="144" t="s">
        <v>241</v>
      </c>
      <c r="C192" s="75" t="s">
        <v>9</v>
      </c>
      <c r="D192" s="104">
        <v>250</v>
      </c>
      <c r="E192" s="157">
        <f>+'LISTA MAESTRA'!D40</f>
        <v>29.6</v>
      </c>
      <c r="F192" s="148">
        <f t="shared" ref="F192:F198" si="10">E192*D192</f>
        <v>7400</v>
      </c>
    </row>
    <row r="193" spans="1:6" x14ac:dyDescent="0.25">
      <c r="A193" s="33"/>
      <c r="B193" s="144" t="s">
        <v>256</v>
      </c>
      <c r="C193" s="75" t="s">
        <v>9</v>
      </c>
      <c r="D193" s="104">
        <v>1000</v>
      </c>
      <c r="E193" s="157">
        <f>+'LISTA MAESTRA'!D72</f>
        <v>3.65</v>
      </c>
      <c r="F193" s="148">
        <f t="shared" si="10"/>
        <v>3650</v>
      </c>
    </row>
    <row r="194" spans="1:6" ht="15" customHeight="1" x14ac:dyDescent="0.25">
      <c r="A194" s="33"/>
      <c r="B194" s="144" t="s">
        <v>282</v>
      </c>
      <c r="C194" s="75" t="s">
        <v>9</v>
      </c>
      <c r="D194" s="104">
        <v>0.5</v>
      </c>
      <c r="E194" s="157">
        <f>+'LISTA MAESTRA'!D66</f>
        <v>1128.7477954144622</v>
      </c>
      <c r="F194" s="148">
        <f t="shared" si="10"/>
        <v>564.37389770723109</v>
      </c>
    </row>
    <row r="195" spans="1:6" x14ac:dyDescent="0.25">
      <c r="A195" s="33"/>
      <c r="B195" s="144" t="s">
        <v>283</v>
      </c>
      <c r="C195" s="75" t="s">
        <v>9</v>
      </c>
      <c r="D195" s="104">
        <v>1</v>
      </c>
      <c r="E195" s="157">
        <f>+'LISTA MAESTRA'!D67</f>
        <v>80</v>
      </c>
      <c r="F195" s="148">
        <f t="shared" si="10"/>
        <v>80</v>
      </c>
    </row>
    <row r="196" spans="1:6" ht="15.75" customHeight="1" x14ac:dyDescent="0.25">
      <c r="A196" s="33"/>
      <c r="B196" s="145" t="s">
        <v>287</v>
      </c>
      <c r="C196" s="75" t="s">
        <v>9</v>
      </c>
      <c r="D196" s="104">
        <v>1250</v>
      </c>
      <c r="E196" s="157">
        <f>+'LISTA MAESTRA'!D96</f>
        <v>3.4</v>
      </c>
      <c r="F196" s="148">
        <f t="shared" si="10"/>
        <v>4250</v>
      </c>
    </row>
    <row r="197" spans="1:6" ht="15.75" customHeight="1" x14ac:dyDescent="0.25">
      <c r="A197" s="33"/>
      <c r="B197" s="145" t="s">
        <v>330</v>
      </c>
      <c r="C197" s="75" t="s">
        <v>9</v>
      </c>
      <c r="D197" s="104">
        <v>600</v>
      </c>
      <c r="E197" s="157">
        <f>+'LISTA MAESTRA'!D73</f>
        <v>20.229885057471265</v>
      </c>
      <c r="F197" s="148">
        <f t="shared" si="10"/>
        <v>12137.931034482759</v>
      </c>
    </row>
    <row r="198" spans="1:6" ht="15.75" customHeight="1" x14ac:dyDescent="0.25">
      <c r="A198" s="33"/>
      <c r="B198" s="145" t="s">
        <v>253</v>
      </c>
      <c r="C198" s="75" t="s">
        <v>9</v>
      </c>
      <c r="D198" s="104">
        <v>250</v>
      </c>
      <c r="E198" s="157">
        <f>+'LISTA MAESTRA'!D87</f>
        <v>17.262499999999999</v>
      </c>
      <c r="F198" s="148">
        <f t="shared" si="10"/>
        <v>4315.625</v>
      </c>
    </row>
    <row r="199" spans="1:6" ht="15.75" customHeight="1" x14ac:dyDescent="0.25">
      <c r="A199" s="243" t="s">
        <v>45</v>
      </c>
      <c r="B199" s="244"/>
      <c r="C199" s="244"/>
      <c r="D199" s="244"/>
      <c r="E199" s="245"/>
      <c r="F199" s="39">
        <f>SUM(F192:F198)</f>
        <v>32397.929932189989</v>
      </c>
    </row>
    <row r="200" spans="1:6" ht="15.75" customHeight="1" x14ac:dyDescent="0.25">
      <c r="A200" s="249" t="s">
        <v>46</v>
      </c>
      <c r="B200" s="250"/>
      <c r="C200" s="250"/>
      <c r="D200" s="251"/>
      <c r="E200" s="165">
        <v>0.06</v>
      </c>
      <c r="F200" s="41">
        <f>+F199*E200</f>
        <v>1943.8757959313994</v>
      </c>
    </row>
    <row r="201" spans="1:6" ht="15.75" customHeight="1" x14ac:dyDescent="0.25">
      <c r="A201" s="243" t="s">
        <v>47</v>
      </c>
      <c r="B201" s="244"/>
      <c r="C201" s="244"/>
      <c r="D201" s="244"/>
      <c r="E201" s="245"/>
      <c r="F201" s="39">
        <f>+F199+F200</f>
        <v>34341.805728121391</v>
      </c>
    </row>
    <row r="202" spans="1:6" ht="15.75" customHeight="1" x14ac:dyDescent="0.25">
      <c r="A202" s="246" t="s">
        <v>48</v>
      </c>
      <c r="B202" s="247"/>
      <c r="C202" s="247"/>
      <c r="D202" s="247"/>
      <c r="E202" s="248"/>
      <c r="F202" s="42">
        <f>+F199/F190</f>
        <v>3239.7929932189991</v>
      </c>
    </row>
    <row r="203" spans="1:6" ht="15.75" customHeight="1" x14ac:dyDescent="0.25">
      <c r="A203" s="243" t="s">
        <v>45</v>
      </c>
      <c r="B203" s="244"/>
      <c r="C203" s="244"/>
      <c r="D203" s="244"/>
      <c r="E203" s="245"/>
      <c r="F203" s="39">
        <f>+F201</f>
        <v>34341.805728121391</v>
      </c>
    </row>
    <row r="204" spans="1:6" ht="15.75" customHeight="1" thickBot="1" x14ac:dyDescent="0.3"/>
    <row r="205" spans="1:6" ht="15.75" customHeight="1" thickBot="1" x14ac:dyDescent="0.3">
      <c r="A205" s="252" t="s">
        <v>268</v>
      </c>
      <c r="B205" s="253"/>
      <c r="C205" s="253"/>
      <c r="D205" s="253"/>
      <c r="E205" s="253"/>
      <c r="F205" s="254"/>
    </row>
    <row r="206" spans="1:6" ht="15.75" customHeight="1" x14ac:dyDescent="0.25">
      <c r="A206" s="261" t="s">
        <v>178</v>
      </c>
      <c r="B206" s="262"/>
      <c r="C206" s="262"/>
      <c r="D206" s="262"/>
      <c r="E206" s="262"/>
      <c r="F206" s="263"/>
    </row>
    <row r="207" spans="1:6" ht="15.75" customHeight="1" x14ac:dyDescent="0.25">
      <c r="A207" s="255" t="s">
        <v>367</v>
      </c>
      <c r="B207" s="272"/>
      <c r="C207" s="272"/>
      <c r="D207" s="273"/>
      <c r="E207" s="163" t="s">
        <v>36</v>
      </c>
      <c r="F207" s="138"/>
    </row>
    <row r="208" spans="1:6" ht="15.75" customHeight="1" x14ac:dyDescent="0.25">
      <c r="A208" s="274"/>
      <c r="B208" s="275"/>
      <c r="C208" s="275"/>
      <c r="D208" s="276"/>
      <c r="E208" s="161" t="s">
        <v>37</v>
      </c>
      <c r="F208" s="29">
        <v>1</v>
      </c>
    </row>
    <row r="209" spans="1:6" ht="15.75" customHeight="1" x14ac:dyDescent="0.25">
      <c r="A209" s="30" t="s">
        <v>38</v>
      </c>
      <c r="B209" s="30" t="s">
        <v>39</v>
      </c>
      <c r="C209" s="30" t="s">
        <v>40</v>
      </c>
      <c r="D209" s="31" t="s">
        <v>41</v>
      </c>
      <c r="E209" s="162" t="s">
        <v>42</v>
      </c>
      <c r="F209" s="32" t="s">
        <v>43</v>
      </c>
    </row>
    <row r="210" spans="1:6" ht="15.75" customHeight="1" x14ac:dyDescent="0.25">
      <c r="A210" s="33"/>
      <c r="B210" s="77" t="s">
        <v>269</v>
      </c>
      <c r="C210" s="75" t="s">
        <v>9</v>
      </c>
      <c r="D210" s="104">
        <v>200</v>
      </c>
      <c r="E210" s="158">
        <f>+'LISTA MAESTRA'!D53</f>
        <v>3.2</v>
      </c>
      <c r="F210" s="34">
        <f t="shared" ref="F210:F212" si="11">E210*D210</f>
        <v>640</v>
      </c>
    </row>
    <row r="211" spans="1:6" ht="15.75" customHeight="1" x14ac:dyDescent="0.25">
      <c r="A211" s="33"/>
      <c r="B211" s="77" t="s">
        <v>270</v>
      </c>
      <c r="C211" s="75" t="s">
        <v>25</v>
      </c>
      <c r="D211" s="137">
        <v>0.5</v>
      </c>
      <c r="E211" s="158">
        <f>+'LISTA MAESTRA'!D50</f>
        <v>2600</v>
      </c>
      <c r="F211" s="34">
        <f t="shared" si="11"/>
        <v>1300</v>
      </c>
    </row>
    <row r="212" spans="1:6" ht="15.75" customHeight="1" x14ac:dyDescent="0.25">
      <c r="A212" s="33"/>
      <c r="B212" s="77" t="s">
        <v>271</v>
      </c>
      <c r="C212" s="75" t="s">
        <v>9</v>
      </c>
      <c r="D212" s="104">
        <v>100</v>
      </c>
      <c r="E212" s="158">
        <f>+'LISTA MAESTRA'!D54</f>
        <v>22</v>
      </c>
      <c r="F212" s="34">
        <f t="shared" si="11"/>
        <v>2200</v>
      </c>
    </row>
    <row r="213" spans="1:6" x14ac:dyDescent="0.25">
      <c r="A213" s="33"/>
      <c r="B213" s="77"/>
      <c r="C213" s="75"/>
      <c r="D213" s="104"/>
      <c r="E213" s="159"/>
      <c r="F213" s="34">
        <v>0</v>
      </c>
    </row>
    <row r="214" spans="1:6" ht="15" customHeight="1" x14ac:dyDescent="0.25">
      <c r="A214" s="243" t="s">
        <v>45</v>
      </c>
      <c r="B214" s="244"/>
      <c r="C214" s="244"/>
      <c r="D214" s="244"/>
      <c r="E214" s="245"/>
      <c r="F214" s="39">
        <f>SUM(F210:F213)</f>
        <v>4140</v>
      </c>
    </row>
    <row r="215" spans="1:6" x14ac:dyDescent="0.25">
      <c r="A215" s="249" t="s">
        <v>46</v>
      </c>
      <c r="B215" s="250"/>
      <c r="C215" s="250"/>
      <c r="D215" s="251"/>
      <c r="E215" s="165">
        <v>0.06</v>
      </c>
      <c r="F215" s="41">
        <f>+F214*E215</f>
        <v>248.39999999999998</v>
      </c>
    </row>
    <row r="216" spans="1:6" ht="15.75" customHeight="1" x14ac:dyDescent="0.25">
      <c r="A216" s="243" t="s">
        <v>47</v>
      </c>
      <c r="B216" s="244"/>
      <c r="C216" s="244"/>
      <c r="D216" s="244"/>
      <c r="E216" s="245"/>
      <c r="F216" s="39">
        <f>+F214+F215</f>
        <v>4388.3999999999996</v>
      </c>
    </row>
    <row r="217" spans="1:6" ht="15.75" customHeight="1" x14ac:dyDescent="0.25">
      <c r="A217" s="246" t="s">
        <v>48</v>
      </c>
      <c r="B217" s="247"/>
      <c r="C217" s="247"/>
      <c r="D217" s="247"/>
      <c r="E217" s="248"/>
      <c r="F217" s="42">
        <f>+F214/F208</f>
        <v>4140</v>
      </c>
    </row>
    <row r="218" spans="1:6" ht="15.75" customHeight="1" x14ac:dyDescent="0.25">
      <c r="A218" s="243" t="s">
        <v>45</v>
      </c>
      <c r="B218" s="244"/>
      <c r="C218" s="244"/>
      <c r="D218" s="244"/>
      <c r="E218" s="245"/>
      <c r="F218" s="39">
        <f>+F216</f>
        <v>4388.3999999999996</v>
      </c>
    </row>
    <row r="219" spans="1:6" ht="15.75" customHeight="1" thickBot="1" x14ac:dyDescent="0.3"/>
    <row r="220" spans="1:6" ht="15.75" customHeight="1" thickBot="1" x14ac:dyDescent="0.3">
      <c r="A220" s="252" t="s">
        <v>264</v>
      </c>
      <c r="B220" s="253"/>
      <c r="C220" s="253"/>
      <c r="D220" s="253"/>
      <c r="E220" s="253"/>
      <c r="F220" s="254"/>
    </row>
    <row r="221" spans="1:6" ht="15.75" customHeight="1" x14ac:dyDescent="0.25">
      <c r="A221" s="261" t="s">
        <v>178</v>
      </c>
      <c r="B221" s="262"/>
      <c r="C221" s="262"/>
      <c r="D221" s="262"/>
      <c r="E221" s="262"/>
      <c r="F221" s="263"/>
    </row>
    <row r="222" spans="1:6" ht="15.75" customHeight="1" x14ac:dyDescent="0.25">
      <c r="A222" s="255" t="s">
        <v>362</v>
      </c>
      <c r="B222" s="256"/>
      <c r="C222" s="256"/>
      <c r="D222" s="257"/>
      <c r="E222" s="160" t="s">
        <v>36</v>
      </c>
      <c r="F222" s="27"/>
    </row>
    <row r="223" spans="1:6" ht="15.75" customHeight="1" x14ac:dyDescent="0.25">
      <c r="A223" s="258"/>
      <c r="B223" s="259"/>
      <c r="C223" s="259"/>
      <c r="D223" s="260"/>
      <c r="E223" s="161" t="s">
        <v>37</v>
      </c>
      <c r="F223" s="29">
        <v>1</v>
      </c>
    </row>
    <row r="224" spans="1:6" ht="15.75" customHeight="1" x14ac:dyDescent="0.25">
      <c r="A224" s="30" t="s">
        <v>38</v>
      </c>
      <c r="B224" s="30" t="s">
        <v>39</v>
      </c>
      <c r="C224" s="30" t="s">
        <v>40</v>
      </c>
      <c r="D224" s="31" t="s">
        <v>41</v>
      </c>
      <c r="E224" s="162" t="s">
        <v>42</v>
      </c>
      <c r="F224" s="32" t="s">
        <v>43</v>
      </c>
    </row>
    <row r="225" spans="1:6" ht="15.75" customHeight="1" x14ac:dyDescent="0.25">
      <c r="A225" s="33"/>
      <c r="B225" s="77" t="s">
        <v>264</v>
      </c>
      <c r="C225" s="75" t="s">
        <v>9</v>
      </c>
      <c r="D225" s="104">
        <v>90</v>
      </c>
      <c r="E225" s="158">
        <f>+'LISTA MAESTRA'!D85</f>
        <v>7.4</v>
      </c>
      <c r="F225" s="34">
        <f t="shared" ref="F225:F226" si="12">E225*D225</f>
        <v>666</v>
      </c>
    </row>
    <row r="226" spans="1:6" ht="15.75" customHeight="1" x14ac:dyDescent="0.25">
      <c r="A226" s="33"/>
      <c r="B226" s="156" t="s">
        <v>407</v>
      </c>
      <c r="C226" s="75" t="s">
        <v>9</v>
      </c>
      <c r="D226" s="104">
        <v>300</v>
      </c>
      <c r="E226" s="158">
        <f>+'LISTA MAESTRA'!D72</f>
        <v>3.65</v>
      </c>
      <c r="F226" s="34">
        <f t="shared" si="12"/>
        <v>1095</v>
      </c>
    </row>
    <row r="227" spans="1:6" ht="15.75" customHeight="1" x14ac:dyDescent="0.25">
      <c r="A227" s="33"/>
      <c r="B227" s="105"/>
      <c r="C227" s="75"/>
      <c r="D227" s="104"/>
      <c r="E227" s="159"/>
      <c r="F227" s="34">
        <v>0</v>
      </c>
    </row>
    <row r="228" spans="1:6" ht="15.75" customHeight="1" x14ac:dyDescent="0.25">
      <c r="A228" s="243" t="s">
        <v>45</v>
      </c>
      <c r="B228" s="244"/>
      <c r="C228" s="244"/>
      <c r="D228" s="244"/>
      <c r="E228" s="245"/>
      <c r="F228" s="39">
        <f>SUM(F225:F227)</f>
        <v>1761</v>
      </c>
    </row>
    <row r="229" spans="1:6" x14ac:dyDescent="0.25">
      <c r="A229" s="249" t="s">
        <v>46</v>
      </c>
      <c r="B229" s="250"/>
      <c r="C229" s="250"/>
      <c r="D229" s="251"/>
      <c r="E229" s="165">
        <v>0.06</v>
      </c>
      <c r="F229" s="41">
        <f>+F228*E229</f>
        <v>105.66</v>
      </c>
    </row>
    <row r="230" spans="1:6" ht="15.75" customHeight="1" x14ac:dyDescent="0.25">
      <c r="A230" s="243" t="s">
        <v>47</v>
      </c>
      <c r="B230" s="244"/>
      <c r="C230" s="244"/>
      <c r="D230" s="244"/>
      <c r="E230" s="245"/>
      <c r="F230" s="39">
        <f>+F228+F229</f>
        <v>1866.66</v>
      </c>
    </row>
    <row r="231" spans="1:6" ht="15.75" customHeight="1" x14ac:dyDescent="0.25">
      <c r="A231" s="246" t="s">
        <v>48</v>
      </c>
      <c r="B231" s="247"/>
      <c r="C231" s="247"/>
      <c r="D231" s="247"/>
      <c r="E231" s="248"/>
      <c r="F231" s="42">
        <f>+F228/F223</f>
        <v>1761</v>
      </c>
    </row>
    <row r="232" spans="1:6" ht="15.75" customHeight="1" x14ac:dyDescent="0.25">
      <c r="A232" s="243" t="s">
        <v>45</v>
      </c>
      <c r="B232" s="244"/>
      <c r="C232" s="244"/>
      <c r="D232" s="244"/>
      <c r="E232" s="245"/>
      <c r="F232" s="39">
        <f>+F230</f>
        <v>1866.66</v>
      </c>
    </row>
    <row r="233" spans="1:6" ht="15.75" customHeight="1" thickBot="1" x14ac:dyDescent="0.3"/>
    <row r="234" spans="1:6" ht="15.75" customHeight="1" thickBot="1" x14ac:dyDescent="0.3">
      <c r="A234" s="252" t="s">
        <v>181</v>
      </c>
      <c r="B234" s="253"/>
      <c r="C234" s="253"/>
      <c r="D234" s="253"/>
      <c r="E234" s="253"/>
      <c r="F234" s="254"/>
    </row>
    <row r="235" spans="1:6" ht="15.75" customHeight="1" x14ac:dyDescent="0.25">
      <c r="A235" s="261" t="s">
        <v>178</v>
      </c>
      <c r="B235" s="262"/>
      <c r="C235" s="262"/>
      <c r="D235" s="262"/>
      <c r="E235" s="262"/>
      <c r="F235" s="263"/>
    </row>
    <row r="236" spans="1:6" ht="15.75" customHeight="1" x14ac:dyDescent="0.25">
      <c r="A236" s="255" t="s">
        <v>362</v>
      </c>
      <c r="B236" s="272"/>
      <c r="C236" s="272"/>
      <c r="D236" s="273"/>
      <c r="E236" s="160" t="s">
        <v>36</v>
      </c>
      <c r="F236" s="27"/>
    </row>
    <row r="237" spans="1:6" ht="15.75" customHeight="1" x14ac:dyDescent="0.25">
      <c r="A237" s="274"/>
      <c r="B237" s="275"/>
      <c r="C237" s="275"/>
      <c r="D237" s="276"/>
      <c r="E237" s="161" t="s">
        <v>37</v>
      </c>
      <c r="F237" s="29">
        <v>10</v>
      </c>
    </row>
    <row r="238" spans="1:6" ht="15.75" customHeight="1" x14ac:dyDescent="0.25">
      <c r="A238" s="30" t="s">
        <v>38</v>
      </c>
      <c r="B238" s="30" t="s">
        <v>39</v>
      </c>
      <c r="C238" s="30" t="s">
        <v>40</v>
      </c>
      <c r="D238" s="31" t="s">
        <v>41</v>
      </c>
      <c r="E238" s="162" t="s">
        <v>42</v>
      </c>
      <c r="F238" s="32" t="s">
        <v>43</v>
      </c>
    </row>
    <row r="239" spans="1:6" ht="15.75" customHeight="1" x14ac:dyDescent="0.25">
      <c r="A239" s="33"/>
      <c r="B239" s="144" t="s">
        <v>278</v>
      </c>
      <c r="C239" s="75" t="s">
        <v>9</v>
      </c>
      <c r="D239" s="104">
        <v>500</v>
      </c>
      <c r="E239" s="149">
        <f>+'LISTA MAESTRA'!D46</f>
        <v>3.2</v>
      </c>
      <c r="F239" s="147">
        <f t="shared" ref="F239:F248" si="13">E239*D239</f>
        <v>1600</v>
      </c>
    </row>
    <row r="240" spans="1:6" ht="15.75" customHeight="1" x14ac:dyDescent="0.25">
      <c r="A240" s="33"/>
      <c r="B240" s="144" t="s">
        <v>279</v>
      </c>
      <c r="C240" s="75" t="s">
        <v>9</v>
      </c>
      <c r="D240" s="104">
        <v>500</v>
      </c>
      <c r="E240" s="149">
        <f>+'LISTA MAESTRA'!D48</f>
        <v>3.7</v>
      </c>
      <c r="F240" s="147">
        <f t="shared" si="13"/>
        <v>1850</v>
      </c>
    </row>
    <row r="241" spans="1:6" ht="15.75" customHeight="1" x14ac:dyDescent="0.25">
      <c r="A241" s="33"/>
      <c r="B241" s="144" t="s">
        <v>280</v>
      </c>
      <c r="C241" s="75" t="s">
        <v>179</v>
      </c>
      <c r="D241" s="104">
        <v>1</v>
      </c>
      <c r="E241" s="149">
        <f>F420</f>
        <v>418.75</v>
      </c>
      <c r="F241" s="147">
        <f t="shared" si="13"/>
        <v>418.75</v>
      </c>
    </row>
    <row r="242" spans="1:6" ht="15.75" customHeight="1" x14ac:dyDescent="0.25">
      <c r="A242" s="33"/>
      <c r="B242" s="144" t="s">
        <v>281</v>
      </c>
      <c r="C242" s="75" t="s">
        <v>9</v>
      </c>
      <c r="D242" s="104">
        <v>250</v>
      </c>
      <c r="E242" s="149">
        <f>+'LISTA MAESTRA'!D90</f>
        <v>11.25</v>
      </c>
      <c r="F242" s="147">
        <f t="shared" si="13"/>
        <v>2812.5</v>
      </c>
    </row>
    <row r="243" spans="1:6" ht="15.75" customHeight="1" x14ac:dyDescent="0.25">
      <c r="A243" s="33"/>
      <c r="B243" s="145" t="s">
        <v>250</v>
      </c>
      <c r="C243" s="75" t="s">
        <v>9</v>
      </c>
      <c r="D243" s="104">
        <v>4</v>
      </c>
      <c r="E243" s="149">
        <f>+'LISTA MAESTRA'!D95</f>
        <v>2.4666666666666668</v>
      </c>
      <c r="F243" s="147">
        <f t="shared" si="13"/>
        <v>9.8666666666666671</v>
      </c>
    </row>
    <row r="244" spans="1:6" ht="15.75" customHeight="1" x14ac:dyDescent="0.25">
      <c r="A244" s="33"/>
      <c r="B244" s="145" t="s">
        <v>282</v>
      </c>
      <c r="C244" s="75" t="s">
        <v>9</v>
      </c>
      <c r="D244" s="104">
        <v>0.5</v>
      </c>
      <c r="E244" s="149">
        <f>+'LISTA MAESTRA'!D66</f>
        <v>1128.7477954144622</v>
      </c>
      <c r="F244" s="147">
        <f t="shared" si="13"/>
        <v>564.37389770723109</v>
      </c>
    </row>
    <row r="245" spans="1:6" ht="15.75" customHeight="1" x14ac:dyDescent="0.25">
      <c r="A245" s="33"/>
      <c r="B245" s="145" t="s">
        <v>283</v>
      </c>
      <c r="C245" s="75" t="s">
        <v>9</v>
      </c>
      <c r="D245" s="104">
        <v>2</v>
      </c>
      <c r="E245" s="149">
        <f>+'LISTA MAESTRA'!D67</f>
        <v>80</v>
      </c>
      <c r="F245" s="147">
        <f t="shared" si="13"/>
        <v>160</v>
      </c>
    </row>
    <row r="246" spans="1:6" ht="15.75" customHeight="1" x14ac:dyDescent="0.25">
      <c r="A246" s="33"/>
      <c r="B246" s="145" t="s">
        <v>284</v>
      </c>
      <c r="C246" s="75" t="s">
        <v>9</v>
      </c>
      <c r="D246" s="104">
        <v>2</v>
      </c>
      <c r="E246" s="149">
        <f>+'LISTA MAESTRA'!D107</f>
        <v>320</v>
      </c>
      <c r="F246" s="147">
        <f t="shared" si="13"/>
        <v>640</v>
      </c>
    </row>
    <row r="247" spans="1:6" ht="15.75" customHeight="1" x14ac:dyDescent="0.25">
      <c r="A247" s="33"/>
      <c r="B247" s="145"/>
      <c r="C247" s="75"/>
      <c r="D247" s="104"/>
      <c r="E247" s="149"/>
      <c r="F247" s="147">
        <f t="shared" si="13"/>
        <v>0</v>
      </c>
    </row>
    <row r="248" spans="1:6" ht="15.75" customHeight="1" x14ac:dyDescent="0.25">
      <c r="A248" s="33"/>
      <c r="B248" s="145"/>
      <c r="C248" s="75"/>
      <c r="D248" s="104"/>
      <c r="E248" s="149"/>
      <c r="F248" s="147">
        <f t="shared" si="13"/>
        <v>0</v>
      </c>
    </row>
    <row r="249" spans="1:6" ht="15.75" customHeight="1" x14ac:dyDescent="0.25">
      <c r="A249" s="243" t="s">
        <v>45</v>
      </c>
      <c r="B249" s="244"/>
      <c r="C249" s="244"/>
      <c r="D249" s="244"/>
      <c r="E249" s="245"/>
      <c r="F249" s="39">
        <f>SUM(F239:F248)</f>
        <v>8055.4905643738975</v>
      </c>
    </row>
    <row r="250" spans="1:6" ht="15.75" customHeight="1" x14ac:dyDescent="0.25">
      <c r="A250" s="249" t="s">
        <v>46</v>
      </c>
      <c r="B250" s="250"/>
      <c r="C250" s="250"/>
      <c r="D250" s="251"/>
      <c r="E250" s="165">
        <v>0.06</v>
      </c>
      <c r="F250" s="41">
        <f>+F249*E250</f>
        <v>483.32943386243386</v>
      </c>
    </row>
    <row r="251" spans="1:6" ht="15.75" customHeight="1" x14ac:dyDescent="0.25">
      <c r="A251" s="243" t="s">
        <v>47</v>
      </c>
      <c r="B251" s="244"/>
      <c r="C251" s="244"/>
      <c r="D251" s="244"/>
      <c r="E251" s="245"/>
      <c r="F251" s="39">
        <f>+F249+F250</f>
        <v>8538.8199982363312</v>
      </c>
    </row>
    <row r="252" spans="1:6" ht="15.75" customHeight="1" x14ac:dyDescent="0.25">
      <c r="A252" s="246" t="s">
        <v>48</v>
      </c>
      <c r="B252" s="247"/>
      <c r="C252" s="247"/>
      <c r="D252" s="247"/>
      <c r="E252" s="248"/>
      <c r="F252" s="42">
        <f>+F249/F237</f>
        <v>805.54905643738971</v>
      </c>
    </row>
    <row r="253" spans="1:6" ht="15.75" customHeight="1" x14ac:dyDescent="0.25">
      <c r="A253" s="243" t="s">
        <v>45</v>
      </c>
      <c r="B253" s="244"/>
      <c r="C253" s="244"/>
      <c r="D253" s="244"/>
      <c r="E253" s="245"/>
      <c r="F253" s="39">
        <f>+F251</f>
        <v>8538.8199982363312</v>
      </c>
    </row>
    <row r="254" spans="1:6" ht="15.75" customHeight="1" thickBot="1" x14ac:dyDescent="0.3"/>
    <row r="255" spans="1:6" ht="15.75" customHeight="1" thickBot="1" x14ac:dyDescent="0.3">
      <c r="A255" s="252" t="s">
        <v>290</v>
      </c>
      <c r="B255" s="253"/>
      <c r="C255" s="253"/>
      <c r="D255" s="253"/>
      <c r="E255" s="253"/>
      <c r="F255" s="254"/>
    </row>
    <row r="256" spans="1:6" ht="15.75" customHeight="1" x14ac:dyDescent="0.25">
      <c r="A256" s="261" t="s">
        <v>178</v>
      </c>
      <c r="B256" s="262"/>
      <c r="C256" s="262"/>
      <c r="D256" s="262"/>
      <c r="E256" s="262"/>
      <c r="F256" s="263"/>
    </row>
    <row r="257" spans="1:6" ht="15.75" customHeight="1" x14ac:dyDescent="0.25">
      <c r="A257" s="255" t="s">
        <v>362</v>
      </c>
      <c r="B257" s="272"/>
      <c r="C257" s="272"/>
      <c r="D257" s="273"/>
      <c r="E257" s="160" t="s">
        <v>36</v>
      </c>
      <c r="F257" s="27"/>
    </row>
    <row r="258" spans="1:6" ht="15.75" customHeight="1" x14ac:dyDescent="0.25">
      <c r="A258" s="274"/>
      <c r="B258" s="275"/>
      <c r="C258" s="275"/>
      <c r="D258" s="276"/>
      <c r="E258" s="161" t="s">
        <v>37</v>
      </c>
      <c r="F258" s="29">
        <v>8</v>
      </c>
    </row>
    <row r="259" spans="1:6" ht="15.75" customHeight="1" x14ac:dyDescent="0.25">
      <c r="A259" s="30" t="s">
        <v>38</v>
      </c>
      <c r="B259" s="30" t="s">
        <v>39</v>
      </c>
      <c r="C259" s="30" t="s">
        <v>40</v>
      </c>
      <c r="D259" s="31" t="s">
        <v>41</v>
      </c>
      <c r="E259" s="162" t="s">
        <v>42</v>
      </c>
      <c r="F259" s="32" t="s">
        <v>43</v>
      </c>
    </row>
    <row r="260" spans="1:6" ht="15.75" customHeight="1" x14ac:dyDescent="0.25">
      <c r="A260" s="33"/>
      <c r="B260" s="77" t="s">
        <v>243</v>
      </c>
      <c r="C260" s="75" t="s">
        <v>9</v>
      </c>
      <c r="D260" s="104">
        <v>500</v>
      </c>
      <c r="E260" s="158">
        <f>+'LISTA MAESTRA'!D42</f>
        <v>12</v>
      </c>
      <c r="F260" s="34">
        <f>+E260*D260</f>
        <v>6000</v>
      </c>
    </row>
    <row r="261" spans="1:6" ht="15.75" customHeight="1" x14ac:dyDescent="0.25">
      <c r="A261" s="33"/>
      <c r="B261" s="77" t="s">
        <v>277</v>
      </c>
      <c r="C261" s="75" t="s">
        <v>20</v>
      </c>
      <c r="D261" s="104">
        <v>250</v>
      </c>
      <c r="E261" s="158">
        <f>+'LISTA MAESTRA'!D47</f>
        <v>5.7</v>
      </c>
      <c r="F261" s="34">
        <f t="shared" ref="F261:F266" si="14">+E261*D261</f>
        <v>1425</v>
      </c>
    </row>
    <row r="262" spans="1:6" ht="15.75" customHeight="1" x14ac:dyDescent="0.25">
      <c r="A262" s="33"/>
      <c r="B262" s="77" t="s">
        <v>291</v>
      </c>
      <c r="C262" s="75" t="s">
        <v>9</v>
      </c>
      <c r="D262" s="104">
        <v>15</v>
      </c>
      <c r="E262" s="158">
        <f>+'LISTA MAESTRA'!D118</f>
        <v>14.8</v>
      </c>
      <c r="F262" s="34">
        <f t="shared" si="14"/>
        <v>222</v>
      </c>
    </row>
    <row r="263" spans="1:6" ht="15.75" customHeight="1" x14ac:dyDescent="0.25">
      <c r="A263" s="33"/>
      <c r="B263" s="77" t="s">
        <v>279</v>
      </c>
      <c r="C263" s="75" t="s">
        <v>9</v>
      </c>
      <c r="D263" s="104">
        <v>125</v>
      </c>
      <c r="E263" s="159">
        <f>+'LISTA MAESTRA'!D48</f>
        <v>3.7</v>
      </c>
      <c r="F263" s="34">
        <f t="shared" si="14"/>
        <v>462.5</v>
      </c>
    </row>
    <row r="264" spans="1:6" ht="15.75" customHeight="1" x14ac:dyDescent="0.25">
      <c r="A264" s="33"/>
      <c r="B264" s="105" t="s">
        <v>292</v>
      </c>
      <c r="C264" s="75" t="s">
        <v>9</v>
      </c>
      <c r="D264" s="104">
        <v>150</v>
      </c>
      <c r="E264" s="159">
        <f>+'LISTA MAESTRA'!D44</f>
        <v>22</v>
      </c>
      <c r="F264" s="34">
        <f t="shared" si="14"/>
        <v>3300</v>
      </c>
    </row>
    <row r="265" spans="1:6" ht="15.75" customHeight="1" x14ac:dyDescent="0.25">
      <c r="A265" s="33"/>
      <c r="B265" s="105" t="s">
        <v>250</v>
      </c>
      <c r="C265" s="75" t="s">
        <v>9</v>
      </c>
      <c r="D265" s="104">
        <v>30</v>
      </c>
      <c r="E265" s="159">
        <f>+'LISTA MAESTRA'!D95</f>
        <v>2.4666666666666668</v>
      </c>
      <c r="F265" s="34">
        <f t="shared" si="14"/>
        <v>74</v>
      </c>
    </row>
    <row r="266" spans="1:6" ht="15.75" customHeight="1" x14ac:dyDescent="0.25">
      <c r="A266" s="33"/>
      <c r="B266" s="105" t="s">
        <v>293</v>
      </c>
      <c r="C266" s="75" t="s">
        <v>9</v>
      </c>
      <c r="D266" s="104">
        <v>5</v>
      </c>
      <c r="E266" s="159">
        <f>+'LISTA MAESTRA'!D99</f>
        <v>136</v>
      </c>
      <c r="F266" s="34">
        <f t="shared" si="14"/>
        <v>680</v>
      </c>
    </row>
    <row r="267" spans="1:6" ht="15.75" customHeight="1" x14ac:dyDescent="0.25">
      <c r="A267" s="33"/>
      <c r="B267" s="105"/>
      <c r="C267" s="75"/>
      <c r="D267" s="104"/>
      <c r="E267" s="159"/>
      <c r="F267" s="136"/>
    </row>
    <row r="268" spans="1:6" ht="15.75" customHeight="1" x14ac:dyDescent="0.25">
      <c r="A268" s="33"/>
      <c r="B268" s="105"/>
      <c r="C268" s="75"/>
      <c r="D268" s="104"/>
      <c r="E268" s="159"/>
      <c r="F268" s="34">
        <v>0</v>
      </c>
    </row>
    <row r="269" spans="1:6" ht="15.75" customHeight="1" x14ac:dyDescent="0.25">
      <c r="A269" s="243" t="s">
        <v>45</v>
      </c>
      <c r="B269" s="244"/>
      <c r="C269" s="244"/>
      <c r="D269" s="244"/>
      <c r="E269" s="245"/>
      <c r="F269" s="39">
        <f>SUM(F260:F268)</f>
        <v>12163.5</v>
      </c>
    </row>
    <row r="270" spans="1:6" ht="15.75" customHeight="1" x14ac:dyDescent="0.25">
      <c r="A270" s="249" t="s">
        <v>46</v>
      </c>
      <c r="B270" s="250"/>
      <c r="C270" s="250"/>
      <c r="D270" s="251"/>
      <c r="E270" s="165">
        <v>0.06</v>
      </c>
      <c r="F270" s="41">
        <f>+F269*E270</f>
        <v>729.81</v>
      </c>
    </row>
    <row r="271" spans="1:6" ht="15.75" customHeight="1" x14ac:dyDescent="0.25">
      <c r="A271" s="243" t="s">
        <v>47</v>
      </c>
      <c r="B271" s="244"/>
      <c r="C271" s="244"/>
      <c r="D271" s="244"/>
      <c r="E271" s="245"/>
      <c r="F271" s="39">
        <f>+F269+F270</f>
        <v>12893.31</v>
      </c>
    </row>
    <row r="272" spans="1:6" ht="15.75" customHeight="1" x14ac:dyDescent="0.25">
      <c r="A272" s="246" t="s">
        <v>48</v>
      </c>
      <c r="B272" s="247"/>
      <c r="C272" s="247"/>
      <c r="D272" s="247"/>
      <c r="E272" s="248"/>
      <c r="F272" s="42">
        <f>+F269/F258</f>
        <v>1520.4375</v>
      </c>
    </row>
    <row r="273" spans="1:6" ht="15.75" customHeight="1" x14ac:dyDescent="0.25">
      <c r="A273" s="243" t="s">
        <v>45</v>
      </c>
      <c r="B273" s="244"/>
      <c r="C273" s="244"/>
      <c r="D273" s="244"/>
      <c r="E273" s="245"/>
      <c r="F273" s="39">
        <f>+F271</f>
        <v>12893.31</v>
      </c>
    </row>
    <row r="274" spans="1:6" ht="15.75" customHeight="1" thickBot="1" x14ac:dyDescent="0.3"/>
    <row r="275" spans="1:6" ht="15.75" customHeight="1" thickBot="1" x14ac:dyDescent="0.3">
      <c r="A275" s="252" t="s">
        <v>298</v>
      </c>
      <c r="B275" s="253"/>
      <c r="C275" s="253"/>
      <c r="D275" s="253"/>
      <c r="E275" s="253"/>
      <c r="F275" s="254"/>
    </row>
    <row r="276" spans="1:6" ht="15.75" customHeight="1" x14ac:dyDescent="0.25">
      <c r="A276" s="261" t="s">
        <v>178</v>
      </c>
      <c r="B276" s="262"/>
      <c r="C276" s="262"/>
      <c r="D276" s="262"/>
      <c r="E276" s="262"/>
      <c r="F276" s="263"/>
    </row>
    <row r="277" spans="1:6" ht="15.75" customHeight="1" x14ac:dyDescent="0.25">
      <c r="A277" s="255" t="s">
        <v>362</v>
      </c>
      <c r="B277" s="272"/>
      <c r="C277" s="272"/>
      <c r="D277" s="273"/>
      <c r="E277" s="160" t="s">
        <v>36</v>
      </c>
      <c r="F277" s="27"/>
    </row>
    <row r="278" spans="1:6" ht="15.75" customHeight="1" x14ac:dyDescent="0.25">
      <c r="A278" s="274"/>
      <c r="B278" s="275"/>
      <c r="C278" s="275"/>
      <c r="D278" s="276"/>
      <c r="E278" s="161" t="s">
        <v>37</v>
      </c>
      <c r="F278" s="29">
        <v>8</v>
      </c>
    </row>
    <row r="279" spans="1:6" ht="15.75" customHeight="1" x14ac:dyDescent="0.25">
      <c r="A279" s="30" t="s">
        <v>38</v>
      </c>
      <c r="B279" s="30" t="s">
        <v>39</v>
      </c>
      <c r="C279" s="30" t="s">
        <v>40</v>
      </c>
      <c r="D279" s="31" t="s">
        <v>41</v>
      </c>
      <c r="E279" s="162" t="s">
        <v>42</v>
      </c>
      <c r="F279" s="32" t="s">
        <v>43</v>
      </c>
    </row>
    <row r="280" spans="1:6" ht="15.75" customHeight="1" x14ac:dyDescent="0.25">
      <c r="A280" s="33"/>
      <c r="B280" s="144" t="s">
        <v>296</v>
      </c>
      <c r="C280" s="75" t="s">
        <v>9</v>
      </c>
      <c r="D280" s="104">
        <v>450</v>
      </c>
      <c r="E280" s="157">
        <f>+'LISTA MAESTRA'!D55</f>
        <v>6.5</v>
      </c>
      <c r="F280" s="148">
        <f>+E280*D280</f>
        <v>2925</v>
      </c>
    </row>
    <row r="281" spans="1:6" ht="15.75" customHeight="1" x14ac:dyDescent="0.25">
      <c r="A281" s="33"/>
      <c r="B281" s="144" t="s">
        <v>249</v>
      </c>
      <c r="C281" s="75" t="s">
        <v>9</v>
      </c>
      <c r="D281" s="104">
        <v>250</v>
      </c>
      <c r="E281" s="157">
        <f>+'LISTA MAESTRA'!D60</f>
        <v>10.6</v>
      </c>
      <c r="F281" s="148">
        <f t="shared" ref="F281:F286" si="15">+E281*D281</f>
        <v>2650</v>
      </c>
    </row>
    <row r="282" spans="1:6" ht="15.75" customHeight="1" x14ac:dyDescent="0.25">
      <c r="A282" s="33"/>
      <c r="B282" s="144" t="s">
        <v>279</v>
      </c>
      <c r="C282" s="75" t="s">
        <v>9</v>
      </c>
      <c r="D282" s="104">
        <v>150</v>
      </c>
      <c r="E282" s="157">
        <f>+'LISTA MAESTRA'!D48</f>
        <v>3.7</v>
      </c>
      <c r="F282" s="148">
        <f t="shared" si="15"/>
        <v>555</v>
      </c>
    </row>
    <row r="283" spans="1:6" ht="15.75" customHeight="1" x14ac:dyDescent="0.25">
      <c r="A283" s="33"/>
      <c r="B283" s="144" t="s">
        <v>277</v>
      </c>
      <c r="C283" s="75" t="s">
        <v>9</v>
      </c>
      <c r="D283" s="104">
        <v>150</v>
      </c>
      <c r="E283" s="157">
        <f>+'LISTA MAESTRA'!D47</f>
        <v>5.7</v>
      </c>
      <c r="F283" s="148">
        <f t="shared" si="15"/>
        <v>855</v>
      </c>
    </row>
    <row r="284" spans="1:6" ht="15.75" customHeight="1" x14ac:dyDescent="0.25">
      <c r="A284" s="33"/>
      <c r="B284" s="145" t="s">
        <v>247</v>
      </c>
      <c r="C284" s="75" t="s">
        <v>9</v>
      </c>
      <c r="D284" s="104">
        <v>10</v>
      </c>
      <c r="E284" s="157">
        <f>+'LISTA MAESTRA'!D62</f>
        <v>3.4</v>
      </c>
      <c r="F284" s="148">
        <f t="shared" si="15"/>
        <v>34</v>
      </c>
    </row>
    <row r="285" spans="1:6" ht="15.75" customHeight="1" x14ac:dyDescent="0.25">
      <c r="A285" s="33"/>
      <c r="B285" s="145" t="s">
        <v>297</v>
      </c>
      <c r="C285" s="75" t="s">
        <v>9</v>
      </c>
      <c r="D285" s="104">
        <v>10</v>
      </c>
      <c r="E285" s="157"/>
      <c r="F285" s="148">
        <f t="shared" si="15"/>
        <v>0</v>
      </c>
    </row>
    <row r="286" spans="1:6" ht="15.75" customHeight="1" x14ac:dyDescent="0.25">
      <c r="A286" s="33"/>
      <c r="B286" s="145" t="s">
        <v>258</v>
      </c>
      <c r="C286" s="75" t="s">
        <v>9</v>
      </c>
      <c r="D286" s="104">
        <v>125</v>
      </c>
      <c r="E286" s="157">
        <f>+'LISTA MAESTRA'!D92</f>
        <v>4.5</v>
      </c>
      <c r="F286" s="148">
        <f t="shared" si="15"/>
        <v>562.5</v>
      </c>
    </row>
    <row r="287" spans="1:6" ht="15.75" customHeight="1" x14ac:dyDescent="0.25">
      <c r="A287" s="243" t="s">
        <v>45</v>
      </c>
      <c r="B287" s="244"/>
      <c r="C287" s="244"/>
      <c r="D287" s="244"/>
      <c r="E287" s="245"/>
      <c r="F287" s="39">
        <f>SUM(F280:F286)</f>
        <v>7581.5</v>
      </c>
    </row>
    <row r="288" spans="1:6" ht="15.75" customHeight="1" x14ac:dyDescent="0.25">
      <c r="A288" s="249" t="s">
        <v>46</v>
      </c>
      <c r="B288" s="250"/>
      <c r="C288" s="250"/>
      <c r="D288" s="251"/>
      <c r="E288" s="165">
        <v>0.06</v>
      </c>
      <c r="F288" s="41">
        <f>+F287*E288</f>
        <v>454.89</v>
      </c>
    </row>
    <row r="289" spans="1:6" ht="15.75" customHeight="1" x14ac:dyDescent="0.25">
      <c r="A289" s="243" t="s">
        <v>47</v>
      </c>
      <c r="B289" s="244"/>
      <c r="C289" s="244"/>
      <c r="D289" s="244"/>
      <c r="E289" s="245"/>
      <c r="F289" s="39">
        <f>+F287+F288</f>
        <v>8036.39</v>
      </c>
    </row>
    <row r="290" spans="1:6" ht="15.75" customHeight="1" x14ac:dyDescent="0.25">
      <c r="A290" s="246" t="s">
        <v>48</v>
      </c>
      <c r="B290" s="247"/>
      <c r="C290" s="247"/>
      <c r="D290" s="247"/>
      <c r="E290" s="248"/>
      <c r="F290" s="42">
        <f>+F287/F278</f>
        <v>947.6875</v>
      </c>
    </row>
    <row r="291" spans="1:6" ht="15.75" customHeight="1" x14ac:dyDescent="0.25">
      <c r="A291" s="243" t="s">
        <v>45</v>
      </c>
      <c r="B291" s="244"/>
      <c r="C291" s="244"/>
      <c r="D291" s="244"/>
      <c r="E291" s="245"/>
      <c r="F291" s="39">
        <f>+F289</f>
        <v>8036.39</v>
      </c>
    </row>
    <row r="292" spans="1:6" ht="15.75" customHeight="1" thickBot="1" x14ac:dyDescent="0.3"/>
    <row r="293" spans="1:6" ht="15.75" customHeight="1" thickBot="1" x14ac:dyDescent="0.3">
      <c r="A293" s="252" t="s">
        <v>303</v>
      </c>
      <c r="B293" s="253"/>
      <c r="C293" s="253"/>
      <c r="D293" s="253"/>
      <c r="E293" s="253"/>
      <c r="F293" s="254"/>
    </row>
    <row r="294" spans="1:6" ht="15.75" customHeight="1" x14ac:dyDescent="0.25">
      <c r="A294" s="261" t="s">
        <v>178</v>
      </c>
      <c r="B294" s="262"/>
      <c r="C294" s="262"/>
      <c r="D294" s="262"/>
      <c r="E294" s="262"/>
      <c r="F294" s="263"/>
    </row>
    <row r="295" spans="1:6" ht="15.75" customHeight="1" x14ac:dyDescent="0.25">
      <c r="A295" s="255" t="s">
        <v>378</v>
      </c>
      <c r="B295" s="272"/>
      <c r="C295" s="272"/>
      <c r="D295" s="273"/>
      <c r="E295" s="160" t="s">
        <v>36</v>
      </c>
      <c r="F295" s="27"/>
    </row>
    <row r="296" spans="1:6" ht="15.75" customHeight="1" x14ac:dyDescent="0.25">
      <c r="A296" s="274"/>
      <c r="B296" s="275"/>
      <c r="C296" s="275"/>
      <c r="D296" s="276"/>
      <c r="E296" s="161" t="s">
        <v>37</v>
      </c>
      <c r="F296" s="29">
        <v>30</v>
      </c>
    </row>
    <row r="297" spans="1:6" ht="15.75" customHeight="1" x14ac:dyDescent="0.25">
      <c r="A297" s="30" t="s">
        <v>38</v>
      </c>
      <c r="B297" s="30" t="s">
        <v>39</v>
      </c>
      <c r="C297" s="30" t="s">
        <v>40</v>
      </c>
      <c r="D297" s="31" t="s">
        <v>41</v>
      </c>
      <c r="E297" s="162" t="s">
        <v>42</v>
      </c>
      <c r="F297" s="32" t="s">
        <v>43</v>
      </c>
    </row>
    <row r="298" spans="1:6" ht="15.75" customHeight="1" x14ac:dyDescent="0.25">
      <c r="A298" s="33"/>
      <c r="B298" s="144" t="s">
        <v>304</v>
      </c>
      <c r="C298" s="75" t="s">
        <v>25</v>
      </c>
      <c r="D298" s="104">
        <v>1</v>
      </c>
      <c r="E298" s="149">
        <f>+'LISTA MAESTRA'!D108</f>
        <v>3350</v>
      </c>
      <c r="F298" s="147">
        <f>+E298*D298</f>
        <v>3350</v>
      </c>
    </row>
    <row r="299" spans="1:6" ht="15.75" customHeight="1" x14ac:dyDescent="0.25">
      <c r="A299" s="33"/>
      <c r="B299" s="144" t="s">
        <v>249</v>
      </c>
      <c r="C299" s="75" t="s">
        <v>9</v>
      </c>
      <c r="D299" s="104">
        <v>250</v>
      </c>
      <c r="E299" s="149">
        <f>+'LISTA MAESTRA'!D60</f>
        <v>10.6</v>
      </c>
      <c r="F299" s="147">
        <f t="shared" ref="F299:F310" si="16">+E299*D299</f>
        <v>2650</v>
      </c>
    </row>
    <row r="300" spans="1:6" ht="15.75" customHeight="1" x14ac:dyDescent="0.25">
      <c r="A300" s="33"/>
      <c r="B300" s="144" t="s">
        <v>369</v>
      </c>
      <c r="C300" s="75" t="s">
        <v>9</v>
      </c>
      <c r="D300" s="104">
        <v>250</v>
      </c>
      <c r="E300" s="149">
        <f>+'LISTA MAESTRA'!D48</f>
        <v>3.7</v>
      </c>
      <c r="F300" s="147">
        <f t="shared" si="16"/>
        <v>925</v>
      </c>
    </row>
    <row r="301" spans="1:6" ht="15.75" customHeight="1" x14ac:dyDescent="0.25">
      <c r="A301" s="33"/>
      <c r="B301" s="144" t="s">
        <v>405</v>
      </c>
      <c r="C301" s="75" t="s">
        <v>9</v>
      </c>
      <c r="D301" s="104">
        <v>250</v>
      </c>
      <c r="E301" s="149">
        <f>+'LISTA MAESTRA'!D49</f>
        <v>4.5999999999999996</v>
      </c>
      <c r="F301" s="147">
        <f t="shared" si="16"/>
        <v>1150</v>
      </c>
    </row>
    <row r="302" spans="1:6" ht="15.75" customHeight="1" x14ac:dyDescent="0.25">
      <c r="A302" s="33"/>
      <c r="B302" s="145" t="s">
        <v>282</v>
      </c>
      <c r="C302" s="75" t="s">
        <v>9</v>
      </c>
      <c r="D302" s="104">
        <v>0.5</v>
      </c>
      <c r="E302" s="149">
        <f>+'LISTA MAESTRA'!D66</f>
        <v>1128.7477954144622</v>
      </c>
      <c r="F302" s="147">
        <f t="shared" si="16"/>
        <v>564.37389770723109</v>
      </c>
    </row>
    <row r="303" spans="1:6" ht="15.75" customHeight="1" x14ac:dyDescent="0.25">
      <c r="A303" s="33"/>
      <c r="B303" s="145" t="s">
        <v>283</v>
      </c>
      <c r="C303" s="75" t="s">
        <v>9</v>
      </c>
      <c r="D303" s="104">
        <v>3</v>
      </c>
      <c r="E303" s="149">
        <f>+'LISTA MAESTRA'!D67</f>
        <v>80</v>
      </c>
      <c r="F303" s="147">
        <f t="shared" si="16"/>
        <v>240</v>
      </c>
    </row>
    <row r="304" spans="1:6" ht="15.75" customHeight="1" x14ac:dyDescent="0.25">
      <c r="A304" s="33"/>
      <c r="B304" s="145" t="s">
        <v>305</v>
      </c>
      <c r="C304" s="75" t="s">
        <v>9</v>
      </c>
      <c r="D304" s="104">
        <v>3</v>
      </c>
      <c r="E304" s="149">
        <f>+'LISTA MAESTRA'!D68</f>
        <v>125</v>
      </c>
      <c r="F304" s="147">
        <f t="shared" si="16"/>
        <v>375</v>
      </c>
    </row>
    <row r="305" spans="1:6" ht="15.75" customHeight="1" x14ac:dyDescent="0.25">
      <c r="A305" s="33"/>
      <c r="B305" s="145" t="s">
        <v>306</v>
      </c>
      <c r="C305" s="75" t="s">
        <v>179</v>
      </c>
      <c r="D305" s="104">
        <v>1</v>
      </c>
      <c r="E305" s="149">
        <f>F420</f>
        <v>418.75</v>
      </c>
      <c r="F305" s="147">
        <f t="shared" si="16"/>
        <v>418.75</v>
      </c>
    </row>
    <row r="306" spans="1:6" ht="15.75" customHeight="1" x14ac:dyDescent="0.25">
      <c r="A306" s="33"/>
      <c r="B306" s="145" t="s">
        <v>307</v>
      </c>
      <c r="C306" s="75" t="s">
        <v>308</v>
      </c>
      <c r="D306" s="104">
        <v>125</v>
      </c>
      <c r="E306" s="149">
        <f>+'LISTA MAESTRA'!D109</f>
        <v>6.4</v>
      </c>
      <c r="F306" s="147">
        <f t="shared" si="16"/>
        <v>800</v>
      </c>
    </row>
    <row r="307" spans="1:6" ht="15.75" customHeight="1" x14ac:dyDescent="0.25">
      <c r="A307" s="33"/>
      <c r="B307" s="145" t="s">
        <v>309</v>
      </c>
      <c r="C307" s="75" t="s">
        <v>9</v>
      </c>
      <c r="D307" s="104">
        <v>2</v>
      </c>
      <c r="E307" s="149">
        <f>+'LISTA MAESTRA'!D107</f>
        <v>320</v>
      </c>
      <c r="F307" s="147">
        <f t="shared" si="16"/>
        <v>640</v>
      </c>
    </row>
    <row r="308" spans="1:6" ht="15.75" customHeight="1" x14ac:dyDescent="0.25">
      <c r="A308" s="33"/>
      <c r="B308" s="145" t="s">
        <v>310</v>
      </c>
      <c r="C308" s="75" t="s">
        <v>9</v>
      </c>
      <c r="D308" s="104">
        <v>3</v>
      </c>
      <c r="E308" s="149">
        <f>+'LISTA MAESTRA'!D95</f>
        <v>2.4666666666666668</v>
      </c>
      <c r="F308" s="147">
        <f t="shared" si="16"/>
        <v>7.4</v>
      </c>
    </row>
    <row r="309" spans="1:6" ht="15.75" customHeight="1" x14ac:dyDescent="0.25">
      <c r="A309" s="33"/>
      <c r="B309" s="145" t="s">
        <v>311</v>
      </c>
      <c r="C309" s="75" t="s">
        <v>20</v>
      </c>
      <c r="D309" s="104">
        <v>500</v>
      </c>
      <c r="E309" s="149">
        <f>+'LISTA MAESTRA'!D90</f>
        <v>11.25</v>
      </c>
      <c r="F309" s="147">
        <f t="shared" si="16"/>
        <v>5625</v>
      </c>
    </row>
    <row r="310" spans="1:6" ht="15.75" customHeight="1" x14ac:dyDescent="0.25">
      <c r="A310" s="33"/>
      <c r="B310" s="145"/>
      <c r="C310" s="75"/>
      <c r="D310" s="104"/>
      <c r="E310" s="149"/>
      <c r="F310" s="147">
        <f t="shared" si="16"/>
        <v>0</v>
      </c>
    </row>
    <row r="311" spans="1:6" ht="15.75" customHeight="1" x14ac:dyDescent="0.25">
      <c r="A311" s="243" t="s">
        <v>45</v>
      </c>
      <c r="B311" s="244"/>
      <c r="C311" s="244"/>
      <c r="D311" s="244"/>
      <c r="E311" s="245"/>
      <c r="F311" s="39">
        <f>SUM(F298:F310)</f>
        <v>16745.523897707229</v>
      </c>
    </row>
    <row r="312" spans="1:6" ht="15.75" customHeight="1" x14ac:dyDescent="0.25">
      <c r="A312" s="249" t="s">
        <v>46</v>
      </c>
      <c r="B312" s="250"/>
      <c r="C312" s="250"/>
      <c r="D312" s="251"/>
      <c r="E312" s="165">
        <v>0.06</v>
      </c>
      <c r="F312" s="41">
        <f>+F311*E312</f>
        <v>1004.7314338624337</v>
      </c>
    </row>
    <row r="313" spans="1:6" ht="15.75" customHeight="1" x14ac:dyDescent="0.25">
      <c r="A313" s="243" t="s">
        <v>47</v>
      </c>
      <c r="B313" s="244"/>
      <c r="C313" s="244"/>
      <c r="D313" s="244"/>
      <c r="E313" s="245"/>
      <c r="F313" s="39">
        <f>+F311+F312</f>
        <v>17750.255331569664</v>
      </c>
    </row>
    <row r="314" spans="1:6" ht="15.75" customHeight="1" x14ac:dyDescent="0.25">
      <c r="A314" s="246" t="s">
        <v>48</v>
      </c>
      <c r="B314" s="247"/>
      <c r="C314" s="247"/>
      <c r="D314" s="247"/>
      <c r="E314" s="248"/>
      <c r="F314" s="42">
        <f>+F311/F296</f>
        <v>558.18412992357435</v>
      </c>
    </row>
    <row r="315" spans="1:6" ht="15.75" customHeight="1" x14ac:dyDescent="0.25">
      <c r="A315" s="243" t="s">
        <v>45</v>
      </c>
      <c r="B315" s="244"/>
      <c r="C315" s="244"/>
      <c r="D315" s="244"/>
      <c r="E315" s="245"/>
      <c r="F315" s="39">
        <f>+F313</f>
        <v>17750.255331569664</v>
      </c>
    </row>
    <row r="316" spans="1:6" ht="15.75" customHeight="1" thickBot="1" x14ac:dyDescent="0.3"/>
    <row r="317" spans="1:6" ht="15.75" customHeight="1" thickBot="1" x14ac:dyDescent="0.3">
      <c r="A317" s="252" t="s">
        <v>319</v>
      </c>
      <c r="B317" s="253"/>
      <c r="C317" s="253"/>
      <c r="D317" s="253"/>
      <c r="E317" s="253"/>
      <c r="F317" s="254"/>
    </row>
    <row r="318" spans="1:6" ht="15.75" customHeight="1" x14ac:dyDescent="0.25">
      <c r="A318" s="261" t="s">
        <v>178</v>
      </c>
      <c r="B318" s="262"/>
      <c r="C318" s="262"/>
      <c r="D318" s="262"/>
      <c r="E318" s="262"/>
      <c r="F318" s="263"/>
    </row>
    <row r="319" spans="1:6" ht="15.75" customHeight="1" x14ac:dyDescent="0.25">
      <c r="A319" s="255" t="s">
        <v>367</v>
      </c>
      <c r="B319" s="272"/>
      <c r="C319" s="272"/>
      <c r="D319" s="273"/>
      <c r="E319" s="160" t="s">
        <v>36</v>
      </c>
      <c r="F319" s="27"/>
    </row>
    <row r="320" spans="1:6" ht="15.75" customHeight="1" x14ac:dyDescent="0.25">
      <c r="A320" s="274"/>
      <c r="B320" s="275"/>
      <c r="C320" s="275"/>
      <c r="D320" s="276"/>
      <c r="E320" s="161" t="s">
        <v>37</v>
      </c>
      <c r="F320" s="29">
        <v>1</v>
      </c>
    </row>
    <row r="321" spans="1:6" ht="15.75" customHeight="1" x14ac:dyDescent="0.25">
      <c r="A321" s="30" t="s">
        <v>38</v>
      </c>
      <c r="B321" s="30" t="s">
        <v>39</v>
      </c>
      <c r="C321" s="30" t="s">
        <v>40</v>
      </c>
      <c r="D321" s="31" t="s">
        <v>41</v>
      </c>
      <c r="E321" s="162" t="s">
        <v>42</v>
      </c>
      <c r="F321" s="32" t="s">
        <v>43</v>
      </c>
    </row>
    <row r="322" spans="1:6" ht="15.75" customHeight="1" x14ac:dyDescent="0.25">
      <c r="A322" s="33"/>
      <c r="B322" s="77" t="s">
        <v>380</v>
      </c>
      <c r="C322" s="75" t="s">
        <v>9</v>
      </c>
      <c r="D322" s="104">
        <v>10</v>
      </c>
      <c r="E322" s="158">
        <v>40</v>
      </c>
      <c r="F322" s="34">
        <f>+E322*D322</f>
        <v>400</v>
      </c>
    </row>
    <row r="323" spans="1:6" ht="15.75" customHeight="1" x14ac:dyDescent="0.25">
      <c r="A323" s="33"/>
      <c r="B323" s="77" t="s">
        <v>320</v>
      </c>
      <c r="C323" s="75" t="s">
        <v>9</v>
      </c>
      <c r="D323" s="104">
        <v>10</v>
      </c>
      <c r="E323" s="158">
        <f>+'LISTA MAESTRA'!D56</f>
        <v>5.9</v>
      </c>
      <c r="F323" s="34">
        <f t="shared" ref="F323:F326" si="17">+E323*D323</f>
        <v>59</v>
      </c>
    </row>
    <row r="324" spans="1:6" ht="15.75" customHeight="1" x14ac:dyDescent="0.25">
      <c r="A324" s="33"/>
      <c r="B324" s="77" t="s">
        <v>321</v>
      </c>
      <c r="C324" s="75" t="s">
        <v>9</v>
      </c>
      <c r="D324" s="104">
        <v>10</v>
      </c>
      <c r="E324" s="158">
        <f>+'LISTA MAESTRA'!D51</f>
        <v>3.7</v>
      </c>
      <c r="F324" s="34">
        <f t="shared" si="17"/>
        <v>37</v>
      </c>
    </row>
    <row r="325" spans="1:6" ht="15.75" customHeight="1" x14ac:dyDescent="0.25">
      <c r="A325" s="33"/>
      <c r="B325" s="77" t="s">
        <v>322</v>
      </c>
      <c r="C325" s="75" t="s">
        <v>9</v>
      </c>
      <c r="D325" s="104">
        <v>10</v>
      </c>
      <c r="E325" s="159">
        <f>+'LISTA MAESTRA'!D57</f>
        <v>5.8</v>
      </c>
      <c r="F325" s="34">
        <f t="shared" si="17"/>
        <v>58</v>
      </c>
    </row>
    <row r="326" spans="1:6" ht="15.75" customHeight="1" x14ac:dyDescent="0.25">
      <c r="A326" s="33"/>
      <c r="B326" s="105" t="s">
        <v>323</v>
      </c>
      <c r="C326" s="75" t="s">
        <v>179</v>
      </c>
      <c r="D326" s="104">
        <v>1</v>
      </c>
      <c r="E326" s="159">
        <f>+F348</f>
        <v>408.75</v>
      </c>
      <c r="F326" s="34">
        <f t="shared" si="17"/>
        <v>408.75</v>
      </c>
    </row>
    <row r="327" spans="1:6" ht="15.75" customHeight="1" x14ac:dyDescent="0.25">
      <c r="A327" s="33"/>
      <c r="B327" s="105"/>
      <c r="C327" s="75"/>
      <c r="D327" s="104"/>
      <c r="E327" s="159"/>
      <c r="F327" s="136"/>
    </row>
    <row r="328" spans="1:6" ht="15.75" customHeight="1" x14ac:dyDescent="0.25">
      <c r="A328" s="33"/>
      <c r="B328" s="105"/>
      <c r="C328" s="75"/>
      <c r="D328" s="104"/>
      <c r="E328" s="159"/>
      <c r="F328" s="136"/>
    </row>
    <row r="329" spans="1:6" ht="15.75" customHeight="1" x14ac:dyDescent="0.25">
      <c r="A329" s="243" t="s">
        <v>45</v>
      </c>
      <c r="B329" s="244"/>
      <c r="C329" s="244"/>
      <c r="D329" s="244"/>
      <c r="E329" s="245"/>
      <c r="F329" s="39">
        <f>SUM(F322:F328)</f>
        <v>962.75</v>
      </c>
    </row>
    <row r="330" spans="1:6" ht="15.75" customHeight="1" x14ac:dyDescent="0.25">
      <c r="A330" s="249" t="s">
        <v>46</v>
      </c>
      <c r="B330" s="250"/>
      <c r="C330" s="250"/>
      <c r="D330" s="251"/>
      <c r="E330" s="165">
        <v>0.06</v>
      </c>
      <c r="F330" s="41">
        <f>+F329*E330</f>
        <v>57.765000000000001</v>
      </c>
    </row>
    <row r="331" spans="1:6" ht="15.75" customHeight="1" x14ac:dyDescent="0.25">
      <c r="A331" s="243" t="s">
        <v>47</v>
      </c>
      <c r="B331" s="244"/>
      <c r="C331" s="244"/>
      <c r="D331" s="244"/>
      <c r="E331" s="245"/>
      <c r="F331" s="39">
        <f>+F329+F330</f>
        <v>1020.515</v>
      </c>
    </row>
    <row r="332" spans="1:6" ht="15.75" customHeight="1" x14ac:dyDescent="0.25">
      <c r="A332" s="246" t="s">
        <v>48</v>
      </c>
      <c r="B332" s="247"/>
      <c r="C332" s="247"/>
      <c r="D332" s="247"/>
      <c r="E332" s="248"/>
      <c r="F332" s="42">
        <f>+F329/F320</f>
        <v>962.75</v>
      </c>
    </row>
    <row r="333" spans="1:6" ht="15.75" customHeight="1" x14ac:dyDescent="0.25">
      <c r="A333" s="243" t="s">
        <v>45</v>
      </c>
      <c r="B333" s="244"/>
      <c r="C333" s="244"/>
      <c r="D333" s="244"/>
      <c r="E333" s="245"/>
      <c r="F333" s="39">
        <f>+F331</f>
        <v>1020.515</v>
      </c>
    </row>
    <row r="334" spans="1:6" ht="15.75" customHeight="1" thickBot="1" x14ac:dyDescent="0.3"/>
    <row r="335" spans="1:6" ht="15.75" customHeight="1" thickBot="1" x14ac:dyDescent="0.3">
      <c r="A335" s="252" t="s">
        <v>324</v>
      </c>
      <c r="B335" s="253"/>
      <c r="C335" s="253"/>
      <c r="D335" s="253"/>
      <c r="E335" s="253"/>
      <c r="F335" s="254"/>
    </row>
    <row r="336" spans="1:6" ht="15.75" customHeight="1" x14ac:dyDescent="0.25">
      <c r="A336" s="261" t="s">
        <v>178</v>
      </c>
      <c r="B336" s="262"/>
      <c r="C336" s="262"/>
      <c r="D336" s="262"/>
      <c r="E336" s="262"/>
      <c r="F336" s="263"/>
    </row>
    <row r="337" spans="1:6" ht="15.75" customHeight="1" x14ac:dyDescent="0.25">
      <c r="A337" s="255" t="s">
        <v>367</v>
      </c>
      <c r="B337" s="272"/>
      <c r="C337" s="272"/>
      <c r="D337" s="273"/>
      <c r="E337" s="160" t="s">
        <v>36</v>
      </c>
      <c r="F337" s="27"/>
    </row>
    <row r="338" spans="1:6" ht="15.75" customHeight="1" x14ac:dyDescent="0.25">
      <c r="A338" s="274"/>
      <c r="B338" s="275"/>
      <c r="C338" s="275"/>
      <c r="D338" s="276"/>
      <c r="E338" s="161" t="s">
        <v>37</v>
      </c>
      <c r="F338" s="29">
        <v>40</v>
      </c>
    </row>
    <row r="339" spans="1:6" ht="15.75" customHeight="1" x14ac:dyDescent="0.25">
      <c r="A339" s="30" t="s">
        <v>38</v>
      </c>
      <c r="B339" s="30" t="s">
        <v>39</v>
      </c>
      <c r="C339" s="30" t="s">
        <v>40</v>
      </c>
      <c r="D339" s="31" t="s">
        <v>41</v>
      </c>
      <c r="E339" s="162" t="s">
        <v>42</v>
      </c>
      <c r="F339" s="32" t="s">
        <v>43</v>
      </c>
    </row>
    <row r="340" spans="1:6" ht="15.75" customHeight="1" x14ac:dyDescent="0.25">
      <c r="A340" s="33"/>
      <c r="B340" s="77" t="s">
        <v>325</v>
      </c>
      <c r="C340" s="75" t="s">
        <v>9</v>
      </c>
      <c r="D340" s="104">
        <v>1000</v>
      </c>
      <c r="E340" s="158">
        <f>+'LISTA MAESTRA'!D58</f>
        <v>7.8</v>
      </c>
      <c r="F340" s="34">
        <f>+E340*D340</f>
        <v>7800</v>
      </c>
    </row>
    <row r="341" spans="1:6" ht="15.75" customHeight="1" x14ac:dyDescent="0.25">
      <c r="A341" s="33"/>
      <c r="B341" s="77" t="s">
        <v>176</v>
      </c>
      <c r="C341" s="75" t="s">
        <v>20</v>
      </c>
      <c r="D341" s="104">
        <v>1000</v>
      </c>
      <c r="E341" s="158">
        <f>+'LISTA MAESTRA'!D80</f>
        <v>6.3</v>
      </c>
      <c r="F341" s="34">
        <f t="shared" ref="F341:F343" si="18">+E341*D341</f>
        <v>6300</v>
      </c>
    </row>
    <row r="342" spans="1:6" ht="15.75" customHeight="1" x14ac:dyDescent="0.25">
      <c r="A342" s="33"/>
      <c r="B342" s="77" t="s">
        <v>61</v>
      </c>
      <c r="C342" s="75" t="s">
        <v>20</v>
      </c>
      <c r="D342" s="104">
        <v>1000</v>
      </c>
      <c r="E342" s="158"/>
      <c r="F342" s="34">
        <f t="shared" si="18"/>
        <v>0</v>
      </c>
    </row>
    <row r="343" spans="1:6" ht="15.75" customHeight="1" x14ac:dyDescent="0.25">
      <c r="A343" s="33"/>
      <c r="B343" s="77" t="s">
        <v>258</v>
      </c>
      <c r="C343" s="75" t="s">
        <v>9</v>
      </c>
      <c r="D343" s="104">
        <v>500</v>
      </c>
      <c r="E343" s="159">
        <f>+'LISTA MAESTRA'!D92</f>
        <v>4.5</v>
      </c>
      <c r="F343" s="34">
        <f t="shared" si="18"/>
        <v>2250</v>
      </c>
    </row>
    <row r="344" spans="1:6" ht="15.75" customHeight="1" x14ac:dyDescent="0.25">
      <c r="A344" s="33"/>
      <c r="B344" s="105"/>
      <c r="C344" s="75"/>
      <c r="D344" s="104"/>
      <c r="E344" s="159"/>
      <c r="F344" s="34"/>
    </row>
    <row r="345" spans="1:6" ht="15.75" customHeight="1" x14ac:dyDescent="0.25">
      <c r="A345" s="243" t="s">
        <v>45</v>
      </c>
      <c r="B345" s="244"/>
      <c r="C345" s="244"/>
      <c r="D345" s="244"/>
      <c r="E345" s="245"/>
      <c r="F345" s="39">
        <f>SUM(F340:F344)</f>
        <v>16350</v>
      </c>
    </row>
    <row r="346" spans="1:6" ht="15.75" customHeight="1" x14ac:dyDescent="0.25">
      <c r="A346" s="249" t="s">
        <v>46</v>
      </c>
      <c r="B346" s="250"/>
      <c r="C346" s="250"/>
      <c r="D346" s="251"/>
      <c r="E346" s="165">
        <v>0.06</v>
      </c>
      <c r="F346" s="41">
        <f>+F345*E346</f>
        <v>981</v>
      </c>
    </row>
    <row r="347" spans="1:6" ht="15.75" customHeight="1" x14ac:dyDescent="0.25">
      <c r="A347" s="243" t="s">
        <v>47</v>
      </c>
      <c r="B347" s="244"/>
      <c r="C347" s="244"/>
      <c r="D347" s="244"/>
      <c r="E347" s="245"/>
      <c r="F347" s="39">
        <f>+F345+F346</f>
        <v>17331</v>
      </c>
    </row>
    <row r="348" spans="1:6" ht="15.75" customHeight="1" x14ac:dyDescent="0.25">
      <c r="A348" s="246" t="s">
        <v>48</v>
      </c>
      <c r="B348" s="247"/>
      <c r="C348" s="247"/>
      <c r="D348" s="247"/>
      <c r="E348" s="248"/>
      <c r="F348" s="42">
        <f>+F345/F338</f>
        <v>408.75</v>
      </c>
    </row>
    <row r="349" spans="1:6" ht="15.75" customHeight="1" x14ac:dyDescent="0.25">
      <c r="A349" s="243" t="s">
        <v>45</v>
      </c>
      <c r="B349" s="244"/>
      <c r="C349" s="244"/>
      <c r="D349" s="244"/>
      <c r="E349" s="245"/>
      <c r="F349" s="39">
        <f>+F347</f>
        <v>17331</v>
      </c>
    </row>
    <row r="350" spans="1:6" ht="15.75" customHeight="1" thickBot="1" x14ac:dyDescent="0.3"/>
    <row r="351" spans="1:6" ht="15.75" customHeight="1" thickBot="1" x14ac:dyDescent="0.3">
      <c r="A351" s="252" t="s">
        <v>326</v>
      </c>
      <c r="B351" s="253"/>
      <c r="C351" s="253"/>
      <c r="D351" s="253"/>
      <c r="E351" s="253"/>
      <c r="F351" s="254"/>
    </row>
    <row r="352" spans="1:6" ht="15.75" customHeight="1" x14ac:dyDescent="0.25">
      <c r="A352" s="261" t="s">
        <v>178</v>
      </c>
      <c r="B352" s="262"/>
      <c r="C352" s="262"/>
      <c r="D352" s="262"/>
      <c r="E352" s="262"/>
      <c r="F352" s="263"/>
    </row>
    <row r="353" spans="1:6" ht="15.75" customHeight="1" x14ac:dyDescent="0.25">
      <c r="A353" s="255" t="s">
        <v>367</v>
      </c>
      <c r="B353" s="272"/>
      <c r="C353" s="272"/>
      <c r="D353" s="273"/>
      <c r="E353" s="160" t="s">
        <v>36</v>
      </c>
      <c r="F353" s="27"/>
    </row>
    <row r="354" spans="1:6" ht="15.75" customHeight="1" x14ac:dyDescent="0.25">
      <c r="A354" s="274"/>
      <c r="B354" s="275"/>
      <c r="C354" s="275"/>
      <c r="D354" s="276"/>
      <c r="E354" s="161" t="s">
        <v>37</v>
      </c>
      <c r="F354" s="29">
        <v>25</v>
      </c>
    </row>
    <row r="355" spans="1:6" ht="15.75" customHeight="1" x14ac:dyDescent="0.25">
      <c r="A355" s="30" t="s">
        <v>38</v>
      </c>
      <c r="B355" s="30" t="s">
        <v>39</v>
      </c>
      <c r="C355" s="30" t="s">
        <v>40</v>
      </c>
      <c r="D355" s="31" t="s">
        <v>41</v>
      </c>
      <c r="E355" s="162" t="s">
        <v>42</v>
      </c>
      <c r="F355" s="32" t="s">
        <v>43</v>
      </c>
    </row>
    <row r="356" spans="1:6" ht="15.75" customHeight="1" x14ac:dyDescent="0.25">
      <c r="A356" s="33"/>
      <c r="B356" s="144" t="s">
        <v>62</v>
      </c>
      <c r="C356" s="75" t="s">
        <v>365</v>
      </c>
      <c r="D356" s="104">
        <v>4</v>
      </c>
      <c r="E356" s="149">
        <f>+'LISTA MAESTRA'!D39</f>
        <v>433.33333333333331</v>
      </c>
      <c r="F356" s="147">
        <f>+E356*D356</f>
        <v>1733.3333333333333</v>
      </c>
    </row>
    <row r="357" spans="1:6" ht="15.75" customHeight="1" x14ac:dyDescent="0.25">
      <c r="A357" s="33"/>
      <c r="B357" s="144" t="s">
        <v>248</v>
      </c>
      <c r="C357" s="75" t="s">
        <v>9</v>
      </c>
      <c r="D357" s="104">
        <v>50</v>
      </c>
      <c r="E357" s="149">
        <f>+'LISTA MAESTRA'!D44</f>
        <v>22</v>
      </c>
      <c r="F357" s="147">
        <f t="shared" ref="F357:F362" si="19">+E357*D357</f>
        <v>1100</v>
      </c>
    </row>
    <row r="358" spans="1:6" ht="15.75" customHeight="1" x14ac:dyDescent="0.25">
      <c r="A358" s="33"/>
      <c r="B358" s="144" t="s">
        <v>277</v>
      </c>
      <c r="C358" s="75" t="s">
        <v>20</v>
      </c>
      <c r="D358" s="104">
        <v>150</v>
      </c>
      <c r="E358" s="149">
        <f>+'LISTA MAESTRA'!D47</f>
        <v>5.7</v>
      </c>
      <c r="F358" s="147">
        <f t="shared" si="19"/>
        <v>855</v>
      </c>
    </row>
    <row r="359" spans="1:6" ht="15.75" customHeight="1" x14ac:dyDescent="0.25">
      <c r="A359" s="33"/>
      <c r="B359" s="144" t="s">
        <v>247</v>
      </c>
      <c r="C359" s="75" t="s">
        <v>9</v>
      </c>
      <c r="D359" s="104">
        <v>80</v>
      </c>
      <c r="E359" s="149">
        <f>+'LISTA MAESTRA'!D62</f>
        <v>3.4</v>
      </c>
      <c r="F359" s="147">
        <f t="shared" si="19"/>
        <v>272</v>
      </c>
    </row>
    <row r="360" spans="1:6" ht="15.75" customHeight="1" x14ac:dyDescent="0.25">
      <c r="A360" s="33"/>
      <c r="B360" s="145" t="s">
        <v>250</v>
      </c>
      <c r="C360" s="75" t="s">
        <v>9</v>
      </c>
      <c r="D360" s="104">
        <v>3</v>
      </c>
      <c r="E360" s="149">
        <f>+'LISTA MAESTRA'!D95</f>
        <v>2.4666666666666668</v>
      </c>
      <c r="F360" s="147">
        <f t="shared" si="19"/>
        <v>7.4</v>
      </c>
    </row>
    <row r="361" spans="1:6" ht="15.75" customHeight="1" x14ac:dyDescent="0.25">
      <c r="A361" s="33"/>
      <c r="B361" s="145" t="s">
        <v>281</v>
      </c>
      <c r="C361" s="75" t="s">
        <v>20</v>
      </c>
      <c r="D361" s="104">
        <v>250</v>
      </c>
      <c r="E361" s="149">
        <f>+'LISTA MAESTRA'!D90</f>
        <v>11.25</v>
      </c>
      <c r="F361" s="147">
        <f t="shared" si="19"/>
        <v>2812.5</v>
      </c>
    </row>
    <row r="362" spans="1:6" ht="15.75" customHeight="1" x14ac:dyDescent="0.25">
      <c r="A362" s="33"/>
      <c r="B362" s="105"/>
      <c r="C362" s="75"/>
      <c r="D362" s="104"/>
      <c r="E362" s="159"/>
      <c r="F362" s="147">
        <f t="shared" si="19"/>
        <v>0</v>
      </c>
    </row>
    <row r="363" spans="1:6" ht="15.75" customHeight="1" x14ac:dyDescent="0.25">
      <c r="A363" s="243" t="s">
        <v>45</v>
      </c>
      <c r="B363" s="244"/>
      <c r="C363" s="244"/>
      <c r="D363" s="244"/>
      <c r="E363" s="245"/>
      <c r="F363" s="39">
        <f>SUM(F356:F362)</f>
        <v>6780.2333333333336</v>
      </c>
    </row>
    <row r="364" spans="1:6" ht="15.75" customHeight="1" x14ac:dyDescent="0.25">
      <c r="A364" s="249" t="s">
        <v>46</v>
      </c>
      <c r="B364" s="250"/>
      <c r="C364" s="250"/>
      <c r="D364" s="251"/>
      <c r="E364" s="165">
        <v>0.06</v>
      </c>
      <c r="F364" s="41">
        <f>+F363*E364</f>
        <v>406.81400000000002</v>
      </c>
    </row>
    <row r="365" spans="1:6" ht="15.75" customHeight="1" x14ac:dyDescent="0.25">
      <c r="A365" s="243" t="s">
        <v>47</v>
      </c>
      <c r="B365" s="244"/>
      <c r="C365" s="244"/>
      <c r="D365" s="244"/>
      <c r="E365" s="245"/>
      <c r="F365" s="39">
        <f>+F363+F364</f>
        <v>7187.0473333333339</v>
      </c>
    </row>
    <row r="366" spans="1:6" ht="15.75" customHeight="1" x14ac:dyDescent="0.25">
      <c r="A366" s="246" t="s">
        <v>48</v>
      </c>
      <c r="B366" s="247"/>
      <c r="C366" s="247"/>
      <c r="D366" s="247"/>
      <c r="E366" s="248"/>
      <c r="F366" s="42">
        <f>+F363/F354</f>
        <v>271.20933333333335</v>
      </c>
    </row>
    <row r="367" spans="1:6" ht="15.75" customHeight="1" x14ac:dyDescent="0.25">
      <c r="A367" s="243" t="s">
        <v>45</v>
      </c>
      <c r="B367" s="244"/>
      <c r="C367" s="244"/>
      <c r="D367" s="244"/>
      <c r="E367" s="245"/>
      <c r="F367" s="39">
        <f>+F365</f>
        <v>7187.0473333333339</v>
      </c>
    </row>
    <row r="368" spans="1:6" ht="15.75" customHeight="1" thickBot="1" x14ac:dyDescent="0.3"/>
    <row r="369" spans="1:8" ht="15.75" customHeight="1" thickBot="1" x14ac:dyDescent="0.3">
      <c r="A369" s="252" t="s">
        <v>343</v>
      </c>
      <c r="B369" s="253"/>
      <c r="C369" s="253"/>
      <c r="D369" s="253"/>
      <c r="E369" s="253"/>
      <c r="F369" s="254"/>
      <c r="H369" s="153" t="s">
        <v>410</v>
      </c>
    </row>
    <row r="370" spans="1:8" ht="15.75" customHeight="1" x14ac:dyDescent="0.25">
      <c r="A370" s="261" t="s">
        <v>178</v>
      </c>
      <c r="B370" s="262"/>
      <c r="C370" s="262"/>
      <c r="D370" s="262"/>
      <c r="E370" s="262"/>
      <c r="F370" s="263"/>
    </row>
    <row r="371" spans="1:8" ht="15.75" customHeight="1" x14ac:dyDescent="0.25">
      <c r="A371" s="255" t="s">
        <v>367</v>
      </c>
      <c r="B371" s="272"/>
      <c r="C371" s="272"/>
      <c r="D371" s="273"/>
      <c r="E371" s="160" t="s">
        <v>36</v>
      </c>
      <c r="F371" s="27"/>
    </row>
    <row r="372" spans="1:8" ht="15.75" customHeight="1" x14ac:dyDescent="0.25">
      <c r="A372" s="274"/>
      <c r="B372" s="275"/>
      <c r="C372" s="275"/>
      <c r="D372" s="276"/>
      <c r="E372" s="161" t="s">
        <v>37</v>
      </c>
      <c r="F372" s="29">
        <v>10</v>
      </c>
    </row>
    <row r="373" spans="1:8" ht="15.75" customHeight="1" x14ac:dyDescent="0.25">
      <c r="A373" s="30" t="s">
        <v>38</v>
      </c>
      <c r="B373" s="30" t="s">
        <v>39</v>
      </c>
      <c r="C373" s="30" t="s">
        <v>40</v>
      </c>
      <c r="D373" s="31" t="s">
        <v>41</v>
      </c>
      <c r="E373" s="162" t="s">
        <v>42</v>
      </c>
      <c r="F373" s="32" t="s">
        <v>43</v>
      </c>
    </row>
    <row r="374" spans="1:8" ht="15.75" customHeight="1" x14ac:dyDescent="0.25">
      <c r="A374" s="33"/>
      <c r="B374" s="77" t="s">
        <v>344</v>
      </c>
      <c r="C374" s="75" t="s">
        <v>9</v>
      </c>
      <c r="D374" s="104">
        <v>1000</v>
      </c>
      <c r="E374" s="158">
        <f>+'LISTA MAESTRA'!D119</f>
        <v>13</v>
      </c>
      <c r="F374" s="34">
        <f>+E374*D374</f>
        <v>13000</v>
      </c>
    </row>
    <row r="375" spans="1:8" ht="15.75" customHeight="1" x14ac:dyDescent="0.25">
      <c r="A375" s="33"/>
      <c r="B375" s="77" t="s">
        <v>346</v>
      </c>
      <c r="C375" s="75" t="s">
        <v>409</v>
      </c>
      <c r="D375" s="104">
        <v>1</v>
      </c>
      <c r="E375" s="158">
        <f>+'LISTA MAESTRA'!C75</f>
        <v>16100</v>
      </c>
      <c r="F375" s="34">
        <f t="shared" ref="F375:F378" si="20">+E375*D375</f>
        <v>16100</v>
      </c>
    </row>
    <row r="376" spans="1:8" ht="15.75" customHeight="1" x14ac:dyDescent="0.25">
      <c r="A376" s="33"/>
      <c r="B376" s="77" t="s">
        <v>347</v>
      </c>
      <c r="C376" s="75" t="s">
        <v>20</v>
      </c>
      <c r="D376" s="104">
        <v>3</v>
      </c>
      <c r="E376" s="158">
        <f>+'LISTA MAESTRA'!D117</f>
        <v>13.4</v>
      </c>
      <c r="F376" s="34">
        <f t="shared" si="20"/>
        <v>40.200000000000003</v>
      </c>
    </row>
    <row r="377" spans="1:8" ht="15.75" customHeight="1" x14ac:dyDescent="0.25">
      <c r="A377" s="33"/>
      <c r="B377" s="77" t="s">
        <v>286</v>
      </c>
      <c r="C377" s="75" t="s">
        <v>25</v>
      </c>
      <c r="D377" s="104">
        <v>500</v>
      </c>
      <c r="E377" s="159">
        <f>+'LISTA MAESTRA'!D86</f>
        <v>6.6</v>
      </c>
      <c r="F377" s="34">
        <f t="shared" si="20"/>
        <v>3300</v>
      </c>
    </row>
    <row r="378" spans="1:8" ht="15.75" customHeight="1" x14ac:dyDescent="0.25">
      <c r="A378" s="33"/>
      <c r="B378" s="105"/>
      <c r="C378" s="75"/>
      <c r="D378" s="104"/>
      <c r="E378" s="159"/>
      <c r="F378" s="34">
        <f t="shared" si="20"/>
        <v>0</v>
      </c>
    </row>
    <row r="379" spans="1:8" ht="15.75" customHeight="1" x14ac:dyDescent="0.25">
      <c r="A379" s="243" t="s">
        <v>45</v>
      </c>
      <c r="B379" s="244"/>
      <c r="C379" s="244"/>
      <c r="D379" s="244"/>
      <c r="E379" s="245"/>
      <c r="F379" s="39">
        <f>SUM(F374:F378)</f>
        <v>32440.2</v>
      </c>
    </row>
    <row r="380" spans="1:8" ht="15.75" customHeight="1" x14ac:dyDescent="0.25">
      <c r="A380" s="249" t="s">
        <v>46</v>
      </c>
      <c r="B380" s="250"/>
      <c r="C380" s="250"/>
      <c r="D380" s="251"/>
      <c r="E380" s="165">
        <v>0.06</v>
      </c>
      <c r="F380" s="41">
        <f>+F379*E380</f>
        <v>1946.412</v>
      </c>
    </row>
    <row r="381" spans="1:8" ht="15.75" customHeight="1" x14ac:dyDescent="0.25">
      <c r="A381" s="243" t="s">
        <v>47</v>
      </c>
      <c r="B381" s="244"/>
      <c r="C381" s="244"/>
      <c r="D381" s="244"/>
      <c r="E381" s="245"/>
      <c r="F381" s="39">
        <f>+F379+F380</f>
        <v>34386.612000000001</v>
      </c>
    </row>
    <row r="382" spans="1:8" ht="15.75" customHeight="1" x14ac:dyDescent="0.25">
      <c r="A382" s="246" t="s">
        <v>48</v>
      </c>
      <c r="B382" s="247"/>
      <c r="C382" s="247"/>
      <c r="D382" s="247"/>
      <c r="E382" s="248"/>
      <c r="F382" s="42">
        <f>+F379/F372</f>
        <v>3244.02</v>
      </c>
    </row>
    <row r="383" spans="1:8" ht="15.75" customHeight="1" x14ac:dyDescent="0.25">
      <c r="A383" s="243" t="s">
        <v>45</v>
      </c>
      <c r="B383" s="244"/>
      <c r="C383" s="244"/>
      <c r="D383" s="244"/>
      <c r="E383" s="245"/>
      <c r="F383" s="39">
        <f>+F381</f>
        <v>34386.612000000001</v>
      </c>
    </row>
    <row r="384" spans="1:8" ht="15.75" customHeight="1" thickBot="1" x14ac:dyDescent="0.3"/>
    <row r="385" spans="1:6" ht="15.75" customHeight="1" thickBot="1" x14ac:dyDescent="0.3">
      <c r="A385" s="252" t="s">
        <v>354</v>
      </c>
      <c r="B385" s="253"/>
      <c r="C385" s="253"/>
      <c r="D385" s="253"/>
      <c r="E385" s="253"/>
      <c r="F385" s="254"/>
    </row>
    <row r="386" spans="1:6" ht="15.75" customHeight="1" x14ac:dyDescent="0.25">
      <c r="A386" s="261" t="s">
        <v>178</v>
      </c>
      <c r="B386" s="262"/>
      <c r="C386" s="262"/>
      <c r="D386" s="262"/>
      <c r="E386" s="262"/>
      <c r="F386" s="263"/>
    </row>
    <row r="387" spans="1:6" ht="15.75" customHeight="1" x14ac:dyDescent="0.25">
      <c r="A387" s="255" t="s">
        <v>367</v>
      </c>
      <c r="B387" s="272"/>
      <c r="C387" s="272"/>
      <c r="D387" s="273"/>
      <c r="E387" s="160" t="s">
        <v>36</v>
      </c>
      <c r="F387" s="27"/>
    </row>
    <row r="388" spans="1:6" ht="15.75" customHeight="1" x14ac:dyDescent="0.25">
      <c r="A388" s="274"/>
      <c r="B388" s="275"/>
      <c r="C388" s="275"/>
      <c r="D388" s="276"/>
      <c r="E388" s="161" t="s">
        <v>37</v>
      </c>
      <c r="F388" s="29">
        <v>28</v>
      </c>
    </row>
    <row r="389" spans="1:6" ht="15.75" customHeight="1" x14ac:dyDescent="0.25">
      <c r="A389" s="30" t="s">
        <v>38</v>
      </c>
      <c r="B389" s="30" t="s">
        <v>39</v>
      </c>
      <c r="C389" s="30" t="s">
        <v>40</v>
      </c>
      <c r="D389" s="31" t="s">
        <v>41</v>
      </c>
      <c r="E389" s="162" t="s">
        <v>42</v>
      </c>
      <c r="F389" s="32" t="s">
        <v>43</v>
      </c>
    </row>
    <row r="390" spans="1:6" ht="15.75" customHeight="1" x14ac:dyDescent="0.25">
      <c r="A390" s="33"/>
      <c r="B390" s="144" t="s">
        <v>411</v>
      </c>
      <c r="C390" s="75" t="s">
        <v>9</v>
      </c>
      <c r="D390" s="104">
        <v>1000</v>
      </c>
      <c r="E390" s="157">
        <f>+'LISTA MAESTRA'!D11</f>
        <v>24</v>
      </c>
      <c r="F390" s="34">
        <f>+E390*D390</f>
        <v>24000</v>
      </c>
    </row>
    <row r="391" spans="1:6" ht="15.75" customHeight="1" x14ac:dyDescent="0.25">
      <c r="A391" s="33"/>
      <c r="B391" s="144" t="s">
        <v>353</v>
      </c>
      <c r="C391" s="75" t="s">
        <v>9</v>
      </c>
      <c r="D391" s="104">
        <v>1000</v>
      </c>
      <c r="E391" s="157">
        <f>+'LISTA MAESTRA'!D26</f>
        <v>23.6</v>
      </c>
      <c r="F391" s="34">
        <f t="shared" ref="F391:F400" si="21">+E391*D391</f>
        <v>23600</v>
      </c>
    </row>
    <row r="392" spans="1:6" ht="15.75" customHeight="1" x14ac:dyDescent="0.25">
      <c r="A392" s="33"/>
      <c r="B392" s="144" t="s">
        <v>160</v>
      </c>
      <c r="C392" s="75" t="s">
        <v>9</v>
      </c>
      <c r="D392" s="104">
        <v>1000</v>
      </c>
      <c r="E392" s="157">
        <f>+'LISTA MAESTRA'!D8</f>
        <v>23.6</v>
      </c>
      <c r="F392" s="34">
        <f t="shared" si="21"/>
        <v>23600</v>
      </c>
    </row>
    <row r="393" spans="1:6" ht="15.75" customHeight="1" x14ac:dyDescent="0.25">
      <c r="A393" s="33"/>
      <c r="B393" s="144" t="s">
        <v>382</v>
      </c>
      <c r="C393" s="75" t="s">
        <v>9</v>
      </c>
      <c r="D393" s="104">
        <v>1000</v>
      </c>
      <c r="E393" s="157">
        <f>+'LISTA MAESTRA'!D10</f>
        <v>27.6</v>
      </c>
      <c r="F393" s="34">
        <f t="shared" si="21"/>
        <v>27600</v>
      </c>
    </row>
    <row r="394" spans="1:6" ht="15.75" customHeight="1" x14ac:dyDescent="0.25">
      <c r="A394" s="33"/>
      <c r="B394" s="145" t="s">
        <v>383</v>
      </c>
      <c r="C394" s="75" t="s">
        <v>9</v>
      </c>
      <c r="D394" s="104">
        <v>250</v>
      </c>
      <c r="E394" s="157">
        <f>+'LISTA MAESTRA'!D60</f>
        <v>10.6</v>
      </c>
      <c r="F394" s="34">
        <f t="shared" si="21"/>
        <v>2650</v>
      </c>
    </row>
    <row r="395" spans="1:6" ht="15.75" customHeight="1" x14ac:dyDescent="0.25">
      <c r="A395" s="33"/>
      <c r="B395" s="145" t="s">
        <v>305</v>
      </c>
      <c r="C395" s="75" t="s">
        <v>9</v>
      </c>
      <c r="D395" s="104">
        <v>3</v>
      </c>
      <c r="E395" s="157">
        <f>+'LISTA MAESTRA'!D68</f>
        <v>125</v>
      </c>
      <c r="F395" s="34">
        <f t="shared" si="21"/>
        <v>375</v>
      </c>
    </row>
    <row r="396" spans="1:6" ht="15.75" customHeight="1" x14ac:dyDescent="0.25">
      <c r="A396" s="33"/>
      <c r="B396" s="145" t="s">
        <v>280</v>
      </c>
      <c r="C396" s="75" t="s">
        <v>179</v>
      </c>
      <c r="D396" s="104">
        <v>1</v>
      </c>
      <c r="E396" s="157">
        <f>+F420</f>
        <v>418.75</v>
      </c>
      <c r="F396" s="34">
        <f t="shared" si="21"/>
        <v>418.75</v>
      </c>
    </row>
    <row r="397" spans="1:6" ht="15.75" customHeight="1" x14ac:dyDescent="0.25">
      <c r="A397" s="33"/>
      <c r="B397" s="145" t="s">
        <v>282</v>
      </c>
      <c r="C397" s="75" t="s">
        <v>9</v>
      </c>
      <c r="D397" s="104">
        <v>1</v>
      </c>
      <c r="E397" s="157">
        <f>+'LISTA MAESTRA'!D66</f>
        <v>1128.7477954144622</v>
      </c>
      <c r="F397" s="34">
        <f t="shared" si="21"/>
        <v>1128.7477954144622</v>
      </c>
    </row>
    <row r="398" spans="1:6" ht="15.75" customHeight="1" x14ac:dyDescent="0.25">
      <c r="A398" s="33"/>
      <c r="B398" s="145" t="s">
        <v>250</v>
      </c>
      <c r="C398" s="75" t="s">
        <v>9</v>
      </c>
      <c r="D398" s="104">
        <v>3</v>
      </c>
      <c r="E398" s="157">
        <f>+'LISTA MAESTRA'!D95</f>
        <v>2.4666666666666668</v>
      </c>
      <c r="F398" s="34">
        <f t="shared" si="21"/>
        <v>7.4</v>
      </c>
    </row>
    <row r="399" spans="1:6" ht="15.75" customHeight="1" x14ac:dyDescent="0.25">
      <c r="A399" s="33"/>
      <c r="B399" s="145" t="s">
        <v>284</v>
      </c>
      <c r="C399" s="75" t="s">
        <v>9</v>
      </c>
      <c r="D399" s="104">
        <v>3</v>
      </c>
      <c r="E399" s="157">
        <f>+'LISTA MAESTRA'!D107</f>
        <v>320</v>
      </c>
      <c r="F399" s="34">
        <f t="shared" si="21"/>
        <v>960</v>
      </c>
    </row>
    <row r="400" spans="1:6" ht="15.75" customHeight="1" x14ac:dyDescent="0.25">
      <c r="A400" s="33"/>
      <c r="B400" s="145" t="s">
        <v>307</v>
      </c>
      <c r="C400" s="75" t="s">
        <v>9</v>
      </c>
      <c r="D400" s="104">
        <v>120</v>
      </c>
      <c r="E400" s="157">
        <f>+'LISTA MAESTRA'!D109</f>
        <v>6.4</v>
      </c>
      <c r="F400" s="34">
        <f t="shared" si="21"/>
        <v>768</v>
      </c>
    </row>
    <row r="401" spans="1:6" ht="15.75" customHeight="1" x14ac:dyDescent="0.25">
      <c r="A401" s="33" t="s">
        <v>295</v>
      </c>
      <c r="B401" s="105"/>
      <c r="C401" s="75"/>
      <c r="D401" s="104"/>
      <c r="E401" s="159"/>
      <c r="F401" s="136"/>
    </row>
    <row r="402" spans="1:6" ht="15.75" customHeight="1" x14ac:dyDescent="0.25">
      <c r="A402" s="33"/>
      <c r="B402" s="105"/>
      <c r="C402" s="75"/>
      <c r="D402" s="104"/>
      <c r="E402" s="159"/>
      <c r="F402" s="136"/>
    </row>
    <row r="403" spans="1:6" ht="15.75" customHeight="1" x14ac:dyDescent="0.25">
      <c r="A403" s="243" t="s">
        <v>45</v>
      </c>
      <c r="B403" s="244"/>
      <c r="C403" s="244"/>
      <c r="D403" s="244"/>
      <c r="E403" s="245"/>
      <c r="F403" s="39">
        <f>SUM(F390:F402)</f>
        <v>105107.89779541445</v>
      </c>
    </row>
    <row r="404" spans="1:6" ht="15.75" customHeight="1" x14ac:dyDescent="0.25">
      <c r="A404" s="249" t="s">
        <v>46</v>
      </c>
      <c r="B404" s="250"/>
      <c r="C404" s="250"/>
      <c r="D404" s="251"/>
      <c r="E404" s="165">
        <v>0.06</v>
      </c>
      <c r="F404" s="41">
        <f>+F403*E404</f>
        <v>6306.473867724867</v>
      </c>
    </row>
    <row r="405" spans="1:6" ht="15.75" customHeight="1" x14ac:dyDescent="0.25">
      <c r="A405" s="243" t="s">
        <v>47</v>
      </c>
      <c r="B405" s="244"/>
      <c r="C405" s="244"/>
      <c r="D405" s="244"/>
      <c r="E405" s="245"/>
      <c r="F405" s="39">
        <f>+F403+F404</f>
        <v>111414.37166313932</v>
      </c>
    </row>
    <row r="406" spans="1:6" ht="15.75" customHeight="1" x14ac:dyDescent="0.25">
      <c r="A406" s="246" t="s">
        <v>48</v>
      </c>
      <c r="B406" s="247"/>
      <c r="C406" s="247"/>
      <c r="D406" s="247"/>
      <c r="E406" s="248"/>
      <c r="F406" s="42">
        <f>+F403/F388</f>
        <v>3753.853492693373</v>
      </c>
    </row>
    <row r="407" spans="1:6" ht="15.75" customHeight="1" x14ac:dyDescent="0.25">
      <c r="A407" s="243" t="s">
        <v>45</v>
      </c>
      <c r="B407" s="244"/>
      <c r="C407" s="244"/>
      <c r="D407" s="244"/>
      <c r="E407" s="245"/>
      <c r="F407" s="39">
        <f>+F405</f>
        <v>111414.37166313932</v>
      </c>
    </row>
    <row r="408" spans="1:6" ht="15.75" customHeight="1" thickBot="1" x14ac:dyDescent="0.3"/>
    <row r="409" spans="1:6" ht="15.75" customHeight="1" thickBot="1" x14ac:dyDescent="0.3">
      <c r="A409" s="252" t="s">
        <v>280</v>
      </c>
      <c r="B409" s="253"/>
      <c r="C409" s="253"/>
      <c r="D409" s="253"/>
      <c r="E409" s="253"/>
      <c r="F409" s="254"/>
    </row>
    <row r="410" spans="1:6" ht="15.75" customHeight="1" x14ac:dyDescent="0.25">
      <c r="A410" s="261" t="s">
        <v>178</v>
      </c>
      <c r="B410" s="262"/>
      <c r="C410" s="262"/>
      <c r="D410" s="262"/>
      <c r="E410" s="262"/>
      <c r="F410" s="263"/>
    </row>
    <row r="411" spans="1:6" ht="15.75" customHeight="1" x14ac:dyDescent="0.25">
      <c r="A411" s="255" t="s">
        <v>367</v>
      </c>
      <c r="B411" s="272"/>
      <c r="C411" s="272"/>
      <c r="D411" s="273"/>
      <c r="E411" s="160" t="s">
        <v>36</v>
      </c>
      <c r="F411" s="27"/>
    </row>
    <row r="412" spans="1:6" ht="15.75" customHeight="1" x14ac:dyDescent="0.25">
      <c r="A412" s="274"/>
      <c r="B412" s="275"/>
      <c r="C412" s="275"/>
      <c r="D412" s="276"/>
      <c r="E412" s="161" t="s">
        <v>37</v>
      </c>
      <c r="F412" s="29">
        <v>20</v>
      </c>
    </row>
    <row r="413" spans="1:6" ht="15.75" customHeight="1" x14ac:dyDescent="0.25">
      <c r="A413" s="30" t="s">
        <v>38</v>
      </c>
      <c r="B413" s="30" t="s">
        <v>39</v>
      </c>
      <c r="C413" s="30" t="s">
        <v>40</v>
      </c>
      <c r="D413" s="31" t="s">
        <v>41</v>
      </c>
      <c r="E413" s="162" t="s">
        <v>42</v>
      </c>
      <c r="F413" s="32" t="s">
        <v>43</v>
      </c>
    </row>
    <row r="414" spans="1:6" ht="15.75" customHeight="1" x14ac:dyDescent="0.25">
      <c r="A414" s="33"/>
      <c r="B414" s="144" t="s">
        <v>248</v>
      </c>
      <c r="C414" s="75" t="s">
        <v>9</v>
      </c>
      <c r="D414" s="104">
        <v>125</v>
      </c>
      <c r="E414" s="158">
        <f>+'LISTA MAESTRA'!D44</f>
        <v>22</v>
      </c>
      <c r="F414" s="34">
        <f>+E414*D414</f>
        <v>2750</v>
      </c>
    </row>
    <row r="415" spans="1:6" ht="15.75" customHeight="1" x14ac:dyDescent="0.25">
      <c r="A415" s="33"/>
      <c r="B415" s="144" t="s">
        <v>281</v>
      </c>
      <c r="C415" s="75" t="s">
        <v>9</v>
      </c>
      <c r="D415" s="104">
        <v>500</v>
      </c>
      <c r="E415" s="158">
        <f>+'LISTA MAESTRA'!D90</f>
        <v>11.25</v>
      </c>
      <c r="F415" s="34">
        <f>+E415*D415</f>
        <v>5625</v>
      </c>
    </row>
    <row r="416" spans="1:6" ht="15.75" customHeight="1" x14ac:dyDescent="0.25">
      <c r="A416" s="33"/>
      <c r="B416" s="144"/>
      <c r="C416" s="75"/>
      <c r="D416" s="104"/>
      <c r="E416" s="158"/>
      <c r="F416" s="34"/>
    </row>
    <row r="417" spans="1:6" ht="15.75" customHeight="1" x14ac:dyDescent="0.25">
      <c r="A417" s="243" t="s">
        <v>45</v>
      </c>
      <c r="B417" s="244"/>
      <c r="C417" s="244"/>
      <c r="D417" s="244"/>
      <c r="E417" s="245"/>
      <c r="F417" s="39">
        <f>SUM(F414:F416)</f>
        <v>8375</v>
      </c>
    </row>
    <row r="418" spans="1:6" ht="15.75" customHeight="1" x14ac:dyDescent="0.25">
      <c r="A418" s="249" t="s">
        <v>46</v>
      </c>
      <c r="B418" s="250"/>
      <c r="C418" s="250"/>
      <c r="D418" s="251"/>
      <c r="E418" s="165">
        <v>0.06</v>
      </c>
      <c r="F418" s="41">
        <f>+F417*E418</f>
        <v>502.5</v>
      </c>
    </row>
    <row r="419" spans="1:6" ht="15.75" customHeight="1" x14ac:dyDescent="0.25">
      <c r="A419" s="243" t="s">
        <v>47</v>
      </c>
      <c r="B419" s="244"/>
      <c r="C419" s="244"/>
      <c r="D419" s="244"/>
      <c r="E419" s="245"/>
      <c r="F419" s="39">
        <f>+F417+F418</f>
        <v>8877.5</v>
      </c>
    </row>
    <row r="420" spans="1:6" ht="15.75" customHeight="1" x14ac:dyDescent="0.25">
      <c r="A420" s="246" t="s">
        <v>48</v>
      </c>
      <c r="B420" s="247"/>
      <c r="C420" s="247"/>
      <c r="D420" s="247"/>
      <c r="E420" s="248"/>
      <c r="F420" s="42">
        <f>+F417/F412</f>
        <v>418.75</v>
      </c>
    </row>
    <row r="421" spans="1:6" ht="15.75" customHeight="1" x14ac:dyDescent="0.25">
      <c r="A421" s="243" t="s">
        <v>45</v>
      </c>
      <c r="B421" s="244"/>
      <c r="C421" s="244"/>
      <c r="D421" s="244"/>
      <c r="E421" s="245"/>
      <c r="F421" s="39">
        <f>+F419</f>
        <v>8877.5</v>
      </c>
    </row>
    <row r="422" spans="1:6" ht="15.75" customHeight="1" thickBot="1" x14ac:dyDescent="0.3"/>
    <row r="423" spans="1:6" ht="15.75" thickBot="1" x14ac:dyDescent="0.3">
      <c r="A423" s="252" t="s">
        <v>212</v>
      </c>
      <c r="B423" s="253"/>
      <c r="C423" s="253"/>
      <c r="D423" s="253"/>
      <c r="E423" s="253"/>
      <c r="F423" s="254"/>
    </row>
    <row r="424" spans="1:6" x14ac:dyDescent="0.25">
      <c r="A424" s="261" t="s">
        <v>178</v>
      </c>
      <c r="B424" s="262"/>
      <c r="C424" s="262"/>
      <c r="D424" s="262"/>
      <c r="E424" s="262"/>
      <c r="F424" s="263"/>
    </row>
    <row r="425" spans="1:6" x14ac:dyDescent="0.25">
      <c r="A425" s="255" t="s">
        <v>367</v>
      </c>
      <c r="B425" s="256"/>
      <c r="C425" s="256"/>
      <c r="D425" s="257"/>
      <c r="E425" s="160" t="s">
        <v>36</v>
      </c>
      <c r="F425" s="27"/>
    </row>
    <row r="426" spans="1:6" x14ac:dyDescent="0.25">
      <c r="A426" s="258"/>
      <c r="B426" s="259"/>
      <c r="C426" s="259"/>
      <c r="D426" s="260"/>
      <c r="E426" s="161" t="s">
        <v>37</v>
      </c>
      <c r="F426" s="29">
        <v>12</v>
      </c>
    </row>
    <row r="427" spans="1:6" x14ac:dyDescent="0.25">
      <c r="A427" s="30" t="s">
        <v>38</v>
      </c>
      <c r="B427" s="30" t="s">
        <v>39</v>
      </c>
      <c r="C427" s="30" t="s">
        <v>40</v>
      </c>
      <c r="D427" s="31" t="s">
        <v>41</v>
      </c>
      <c r="E427" s="162" t="s">
        <v>42</v>
      </c>
      <c r="F427" s="32" t="s">
        <v>43</v>
      </c>
    </row>
    <row r="428" spans="1:6" x14ac:dyDescent="0.25">
      <c r="A428" s="33"/>
      <c r="B428" s="144" t="s">
        <v>420</v>
      </c>
      <c r="C428" s="75" t="s">
        <v>9</v>
      </c>
      <c r="D428" s="104">
        <v>2000</v>
      </c>
      <c r="E428" s="149">
        <f>+'LISTA MAESTRA'!D122</f>
        <v>6.3</v>
      </c>
      <c r="F428" s="147">
        <f>+E428*D428</f>
        <v>12600</v>
      </c>
    </row>
    <row r="429" spans="1:6" x14ac:dyDescent="0.25">
      <c r="A429" s="33"/>
      <c r="B429" s="144" t="s">
        <v>316</v>
      </c>
      <c r="C429" s="75" t="s">
        <v>179</v>
      </c>
      <c r="D429" s="104">
        <v>1</v>
      </c>
      <c r="E429" s="149">
        <f>+F418</f>
        <v>502.5</v>
      </c>
      <c r="F429" s="147">
        <f t="shared" ref="F429:F435" si="22">+E429*D429</f>
        <v>502.5</v>
      </c>
    </row>
    <row r="430" spans="1:6" x14ac:dyDescent="0.25">
      <c r="A430" s="33"/>
      <c r="B430" s="144" t="s">
        <v>311</v>
      </c>
      <c r="C430" s="75" t="s">
        <v>20</v>
      </c>
      <c r="D430" s="104">
        <v>30</v>
      </c>
      <c r="E430" s="149">
        <f>+'LISTA MAESTRA'!D90</f>
        <v>11.25</v>
      </c>
      <c r="F430" s="147">
        <f t="shared" si="22"/>
        <v>337.5</v>
      </c>
    </row>
    <row r="431" spans="1:6" x14ac:dyDescent="0.25">
      <c r="A431" s="33"/>
      <c r="B431" s="144" t="s">
        <v>250</v>
      </c>
      <c r="C431" s="75" t="s">
        <v>9</v>
      </c>
      <c r="D431" s="104">
        <v>3</v>
      </c>
      <c r="E431" s="149">
        <f>+'LISTA MAESTRA'!D95</f>
        <v>2.4666666666666668</v>
      </c>
      <c r="F431" s="147">
        <f t="shared" si="22"/>
        <v>7.4</v>
      </c>
    </row>
    <row r="432" spans="1:6" ht="15" customHeight="1" x14ac:dyDescent="0.25">
      <c r="A432" s="33"/>
      <c r="B432" s="145" t="s">
        <v>317</v>
      </c>
      <c r="C432" s="75" t="s">
        <v>365</v>
      </c>
      <c r="D432" s="104">
        <v>1</v>
      </c>
      <c r="E432" s="149"/>
      <c r="F432" s="147">
        <f t="shared" si="22"/>
        <v>0</v>
      </c>
    </row>
    <row r="433" spans="1:6" x14ac:dyDescent="0.25">
      <c r="A433" s="33"/>
      <c r="B433" s="145" t="s">
        <v>318</v>
      </c>
      <c r="C433" s="75" t="s">
        <v>365</v>
      </c>
      <c r="D433" s="104">
        <v>1</v>
      </c>
      <c r="E433" s="149"/>
      <c r="F433" s="147">
        <f t="shared" si="22"/>
        <v>0</v>
      </c>
    </row>
    <row r="434" spans="1:6" ht="15.75" customHeight="1" x14ac:dyDescent="0.25">
      <c r="A434" s="33"/>
      <c r="B434" s="145"/>
      <c r="C434" s="75"/>
      <c r="D434" s="104"/>
      <c r="E434" s="149"/>
      <c r="F434" s="147">
        <f t="shared" si="22"/>
        <v>0</v>
      </c>
    </row>
    <row r="435" spans="1:6" ht="15.75" customHeight="1" x14ac:dyDescent="0.25">
      <c r="A435" s="33"/>
      <c r="B435" s="145"/>
      <c r="C435" s="75"/>
      <c r="D435" s="104"/>
      <c r="E435" s="149"/>
      <c r="F435" s="147">
        <f t="shared" si="22"/>
        <v>0</v>
      </c>
    </row>
    <row r="436" spans="1:6" ht="15.75" customHeight="1" x14ac:dyDescent="0.25">
      <c r="A436" s="243" t="s">
        <v>45</v>
      </c>
      <c r="B436" s="244"/>
      <c r="C436" s="244"/>
      <c r="D436" s="244"/>
      <c r="E436" s="245"/>
      <c r="F436" s="39">
        <f>SUM(F428:F435)</f>
        <v>13447.4</v>
      </c>
    </row>
    <row r="437" spans="1:6" ht="15.75" customHeight="1" x14ac:dyDescent="0.25">
      <c r="A437" s="249" t="s">
        <v>46</v>
      </c>
      <c r="B437" s="250"/>
      <c r="C437" s="250"/>
      <c r="D437" s="251"/>
      <c r="E437" s="165">
        <v>0.06</v>
      </c>
      <c r="F437" s="41">
        <f>+F436*E437</f>
        <v>806.84399999999994</v>
      </c>
    </row>
    <row r="438" spans="1:6" ht="19.5" customHeight="1" x14ac:dyDescent="0.25">
      <c r="A438" s="243" t="s">
        <v>47</v>
      </c>
      <c r="B438" s="244"/>
      <c r="C438" s="244"/>
      <c r="D438" s="244"/>
      <c r="E438" s="245"/>
      <c r="F438" s="39">
        <f>+F436+F437</f>
        <v>14254.243999999999</v>
      </c>
    </row>
    <row r="439" spans="1:6" ht="15.75" customHeight="1" x14ac:dyDescent="0.25">
      <c r="A439" s="246" t="s">
        <v>48</v>
      </c>
      <c r="B439" s="247"/>
      <c r="C439" s="247"/>
      <c r="D439" s="247"/>
      <c r="E439" s="248"/>
      <c r="F439" s="42">
        <f>+F436/F426</f>
        <v>1120.6166666666666</v>
      </c>
    </row>
    <row r="440" spans="1:6" x14ac:dyDescent="0.25">
      <c r="A440" s="243" t="s">
        <v>45</v>
      </c>
      <c r="B440" s="244"/>
      <c r="C440" s="244"/>
      <c r="D440" s="244"/>
      <c r="E440" s="245"/>
      <c r="F440" s="39">
        <f>+F438</f>
        <v>14254.243999999999</v>
      </c>
    </row>
    <row r="441" spans="1:6" ht="15.75" customHeight="1" x14ac:dyDescent="0.25"/>
    <row r="442" spans="1:6" ht="15.75" customHeight="1" x14ac:dyDescent="0.25"/>
    <row r="443" spans="1:6" ht="15.75" customHeight="1" x14ac:dyDescent="0.25"/>
    <row r="444" spans="1:6" ht="15.75" customHeight="1" x14ac:dyDescent="0.25"/>
    <row r="445" spans="1:6" ht="15.75" customHeight="1" x14ac:dyDescent="0.25"/>
    <row r="446" spans="1:6" ht="15.75" customHeight="1" x14ac:dyDescent="0.25"/>
    <row r="447" spans="1:6" ht="15.75" customHeight="1" x14ac:dyDescent="0.25"/>
    <row r="448" spans="1:6"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sheetData>
  <mergeCells count="192">
    <mergeCell ref="A437:D437"/>
    <mergeCell ref="A438:E438"/>
    <mergeCell ref="A439:E439"/>
    <mergeCell ref="A440:E440"/>
    <mergeCell ref="A417:E417"/>
    <mergeCell ref="A418:D418"/>
    <mergeCell ref="A419:E419"/>
    <mergeCell ref="A420:E420"/>
    <mergeCell ref="A421:E421"/>
    <mergeCell ref="A423:F423"/>
    <mergeCell ref="A424:F424"/>
    <mergeCell ref="A425:D426"/>
    <mergeCell ref="A436:E436"/>
    <mergeCell ref="A406:E406"/>
    <mergeCell ref="A407:E407"/>
    <mergeCell ref="A132:F132"/>
    <mergeCell ref="A147:F147"/>
    <mergeCell ref="A188:F188"/>
    <mergeCell ref="A221:F221"/>
    <mergeCell ref="A409:F409"/>
    <mergeCell ref="A410:F410"/>
    <mergeCell ref="A411:D412"/>
    <mergeCell ref="A381:E381"/>
    <mergeCell ref="A382:E382"/>
    <mergeCell ref="A383:E383"/>
    <mergeCell ref="A385:F385"/>
    <mergeCell ref="A386:F386"/>
    <mergeCell ref="A387:D388"/>
    <mergeCell ref="A403:E403"/>
    <mergeCell ref="A404:D404"/>
    <mergeCell ref="A405:E405"/>
    <mergeCell ref="A364:D364"/>
    <mergeCell ref="A365:E365"/>
    <mergeCell ref="A366:E366"/>
    <mergeCell ref="A367:E367"/>
    <mergeCell ref="A369:F369"/>
    <mergeCell ref="A370:F370"/>
    <mergeCell ref="A371:D372"/>
    <mergeCell ref="A379:E379"/>
    <mergeCell ref="A380:D380"/>
    <mergeCell ref="A345:E345"/>
    <mergeCell ref="A346:D346"/>
    <mergeCell ref="A347:E347"/>
    <mergeCell ref="A348:E348"/>
    <mergeCell ref="A349:E349"/>
    <mergeCell ref="A351:F351"/>
    <mergeCell ref="A352:F352"/>
    <mergeCell ref="A353:D354"/>
    <mergeCell ref="A363:E363"/>
    <mergeCell ref="A319:D320"/>
    <mergeCell ref="A329:E329"/>
    <mergeCell ref="A330:D330"/>
    <mergeCell ref="A331:E331"/>
    <mergeCell ref="A332:E332"/>
    <mergeCell ref="A333:E333"/>
    <mergeCell ref="A335:F335"/>
    <mergeCell ref="A336:F336"/>
    <mergeCell ref="A337:D338"/>
    <mergeCell ref="A294:F294"/>
    <mergeCell ref="A295:D296"/>
    <mergeCell ref="A311:E311"/>
    <mergeCell ref="A312:D312"/>
    <mergeCell ref="A313:E313"/>
    <mergeCell ref="A314:E314"/>
    <mergeCell ref="A315:E315"/>
    <mergeCell ref="A317:F317"/>
    <mergeCell ref="A318:F318"/>
    <mergeCell ref="A275:F275"/>
    <mergeCell ref="A276:F276"/>
    <mergeCell ref="A277:D278"/>
    <mergeCell ref="A287:E287"/>
    <mergeCell ref="A288:D288"/>
    <mergeCell ref="A289:E289"/>
    <mergeCell ref="A290:E290"/>
    <mergeCell ref="A291:E291"/>
    <mergeCell ref="A293:F293"/>
    <mergeCell ref="A255:F255"/>
    <mergeCell ref="A256:F256"/>
    <mergeCell ref="A257:D258"/>
    <mergeCell ref="A269:E269"/>
    <mergeCell ref="A270:D270"/>
    <mergeCell ref="A271:E271"/>
    <mergeCell ref="A272:E272"/>
    <mergeCell ref="A273:E273"/>
    <mergeCell ref="A205:F205"/>
    <mergeCell ref="A220:F220"/>
    <mergeCell ref="A236:D237"/>
    <mergeCell ref="A249:E249"/>
    <mergeCell ref="A250:D250"/>
    <mergeCell ref="A251:E251"/>
    <mergeCell ref="A252:E252"/>
    <mergeCell ref="A253:E253"/>
    <mergeCell ref="A218:E218"/>
    <mergeCell ref="A217:E217"/>
    <mergeCell ref="A234:F234"/>
    <mergeCell ref="A235:F235"/>
    <mergeCell ref="A222:D223"/>
    <mergeCell ref="A228:E228"/>
    <mergeCell ref="A229:D229"/>
    <mergeCell ref="A230:E230"/>
    <mergeCell ref="A216:E216"/>
    <mergeCell ref="A215:D215"/>
    <mergeCell ref="A214:E214"/>
    <mergeCell ref="A207:D208"/>
    <mergeCell ref="A206:F206"/>
    <mergeCell ref="A203:E203"/>
    <mergeCell ref="A202:E202"/>
    <mergeCell ref="A201:E201"/>
    <mergeCell ref="A189:D190"/>
    <mergeCell ref="A108:E108"/>
    <mergeCell ref="A200:D200"/>
    <mergeCell ref="A199:E199"/>
    <mergeCell ref="A185:E185"/>
    <mergeCell ref="A184:E184"/>
    <mergeCell ref="A183:E183"/>
    <mergeCell ref="A182:D182"/>
    <mergeCell ref="A181:E181"/>
    <mergeCell ref="A187:F187"/>
    <mergeCell ref="A23:D24"/>
    <mergeCell ref="A231:E231"/>
    <mergeCell ref="A232:E232"/>
    <mergeCell ref="A71:E71"/>
    <mergeCell ref="A72:D72"/>
    <mergeCell ref="A73:E73"/>
    <mergeCell ref="A74:E74"/>
    <mergeCell ref="A75:E75"/>
    <mergeCell ref="A63:F63"/>
    <mergeCell ref="A64:F64"/>
    <mergeCell ref="A65:D66"/>
    <mergeCell ref="A79:F79"/>
    <mergeCell ref="A80:D81"/>
    <mergeCell ref="A90:E90"/>
    <mergeCell ref="A91:D91"/>
    <mergeCell ref="A92:E92"/>
    <mergeCell ref="A93:E93"/>
    <mergeCell ref="A94:E94"/>
    <mergeCell ref="A97:F97"/>
    <mergeCell ref="A98:F98"/>
    <mergeCell ref="A99:D100"/>
    <mergeCell ref="A105:E105"/>
    <mergeCell ref="A106:D106"/>
    <mergeCell ref="A107:E107"/>
    <mergeCell ref="A16:E16"/>
    <mergeCell ref="A14:E14"/>
    <mergeCell ref="A15:D15"/>
    <mergeCell ref="A17:E17"/>
    <mergeCell ref="A18:E18"/>
    <mergeCell ref="A1:F1"/>
    <mergeCell ref="A2:F2"/>
    <mergeCell ref="A3:D4"/>
    <mergeCell ref="A78:F78"/>
    <mergeCell ref="A56:E56"/>
    <mergeCell ref="A57:D57"/>
    <mergeCell ref="A58:E58"/>
    <mergeCell ref="A59:E59"/>
    <mergeCell ref="A60:E60"/>
    <mergeCell ref="A34:E34"/>
    <mergeCell ref="A32:E32"/>
    <mergeCell ref="A33:D33"/>
    <mergeCell ref="A21:F21"/>
    <mergeCell ref="A39:F39"/>
    <mergeCell ref="A40:F40"/>
    <mergeCell ref="A41:D42"/>
    <mergeCell ref="A35:E35"/>
    <mergeCell ref="A36:E36"/>
    <mergeCell ref="A22:F22"/>
    <mergeCell ref="A109:E109"/>
    <mergeCell ref="A111:F111"/>
    <mergeCell ref="A112:F112"/>
    <mergeCell ref="A113:D114"/>
    <mergeCell ref="A133:D134"/>
    <mergeCell ref="A129:E129"/>
    <mergeCell ref="A128:E128"/>
    <mergeCell ref="A127:E127"/>
    <mergeCell ref="A126:D126"/>
    <mergeCell ref="A125:E125"/>
    <mergeCell ref="A131:F131"/>
    <mergeCell ref="A148:D149"/>
    <mergeCell ref="A144:E144"/>
    <mergeCell ref="A143:E143"/>
    <mergeCell ref="A142:E142"/>
    <mergeCell ref="A141:D141"/>
    <mergeCell ref="A140:E140"/>
    <mergeCell ref="A146:F146"/>
    <mergeCell ref="A170:D171"/>
    <mergeCell ref="A166:E166"/>
    <mergeCell ref="A165:E165"/>
    <mergeCell ref="A164:E164"/>
    <mergeCell ref="A163:D163"/>
    <mergeCell ref="A162:E162"/>
    <mergeCell ref="A168:F168"/>
    <mergeCell ref="A169:F169"/>
  </mergeCells>
  <pageMargins left="0.7" right="0.7" top="0.75" bottom="0.75" header="0" footer="0"/>
  <pageSetup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K902"/>
  <sheetViews>
    <sheetView topLeftCell="A24" workbookViewId="0">
      <selection activeCell="F41" sqref="F41"/>
    </sheetView>
  </sheetViews>
  <sheetFormatPr baseColWidth="10" defaultColWidth="14.42578125" defaultRowHeight="15" customHeight="1" x14ac:dyDescent="0.25"/>
  <cols>
    <col min="1" max="1" width="10.7109375" customWidth="1"/>
    <col min="2" max="2" width="29.7109375" customWidth="1"/>
    <col min="3" max="4" width="10.7109375" customWidth="1"/>
    <col min="5" max="5" width="13" customWidth="1"/>
    <col min="6" max="6" width="10.7109375" customWidth="1"/>
    <col min="7" max="7" width="4.42578125" customWidth="1"/>
    <col min="8" max="8" width="14.5703125" customWidth="1"/>
    <col min="9" max="9" width="13.28515625" customWidth="1"/>
    <col min="10" max="14" width="10.7109375" customWidth="1"/>
    <col min="15" max="15" width="4.28515625" customWidth="1"/>
    <col min="16" max="19" width="10.7109375" customWidth="1"/>
  </cols>
  <sheetData>
    <row r="1" spans="1:11" ht="21" customHeight="1" thickBot="1" x14ac:dyDescent="0.3">
      <c r="A1" s="252" t="s">
        <v>95</v>
      </c>
      <c r="B1" s="264"/>
      <c r="C1" s="264"/>
      <c r="D1" s="264"/>
      <c r="E1" s="264"/>
      <c r="F1" s="265"/>
    </row>
    <row r="2" spans="1:11" x14ac:dyDescent="0.25">
      <c r="A2" s="261" t="s">
        <v>178</v>
      </c>
      <c r="B2" s="262"/>
      <c r="C2" s="262"/>
      <c r="D2" s="262"/>
      <c r="E2" s="262"/>
      <c r="F2" s="263"/>
      <c r="H2" s="38" t="s">
        <v>44</v>
      </c>
      <c r="I2" s="60" t="s">
        <v>52</v>
      </c>
    </row>
    <row r="3" spans="1:11" x14ac:dyDescent="0.25">
      <c r="A3" s="286" t="s">
        <v>59</v>
      </c>
      <c r="B3" s="287"/>
      <c r="C3" s="287"/>
      <c r="D3" s="225"/>
      <c r="E3" s="26" t="s">
        <v>49</v>
      </c>
      <c r="F3" s="27">
        <v>1</v>
      </c>
    </row>
    <row r="4" spans="1:11" x14ac:dyDescent="0.25">
      <c r="A4" s="215"/>
      <c r="B4" s="288"/>
      <c r="C4" s="288"/>
      <c r="D4" s="226"/>
      <c r="E4" s="28" t="s">
        <v>37</v>
      </c>
      <c r="F4" s="29">
        <v>1</v>
      </c>
      <c r="J4" s="62"/>
      <c r="K4" s="63"/>
    </row>
    <row r="5" spans="1:11" x14ac:dyDescent="0.25">
      <c r="A5" s="43" t="s">
        <v>38</v>
      </c>
      <c r="B5" s="43" t="s">
        <v>39</v>
      </c>
      <c r="C5" s="43" t="s">
        <v>40</v>
      </c>
      <c r="D5" s="44" t="s">
        <v>41</v>
      </c>
      <c r="E5" s="45" t="s">
        <v>42</v>
      </c>
      <c r="F5" s="46" t="s">
        <v>43</v>
      </c>
    </row>
    <row r="6" spans="1:11" x14ac:dyDescent="0.25">
      <c r="A6" s="47"/>
      <c r="B6" s="70" t="s">
        <v>244</v>
      </c>
      <c r="C6" s="74" t="s">
        <v>179</v>
      </c>
      <c r="D6" s="50">
        <v>1</v>
      </c>
      <c r="E6" s="168">
        <f>+'RECETA BASE'!F16</f>
        <v>2348.96</v>
      </c>
      <c r="F6" s="169">
        <f>+E6*D6</f>
        <v>2348.96</v>
      </c>
    </row>
    <row r="7" spans="1:11" x14ac:dyDescent="0.25">
      <c r="A7" s="47"/>
      <c r="B7" s="70" t="s">
        <v>252</v>
      </c>
      <c r="C7" s="74" t="s">
        <v>179</v>
      </c>
      <c r="D7" s="50">
        <v>1</v>
      </c>
      <c r="E7" s="168">
        <f>+'RECETA BASE'!F34</f>
        <v>2672.1363333333334</v>
      </c>
      <c r="F7" s="169">
        <f t="shared" ref="F7:F12" si="0">+E7*D7</f>
        <v>2672.1363333333334</v>
      </c>
    </row>
    <row r="8" spans="1:11" x14ac:dyDescent="0.25">
      <c r="A8" s="47"/>
      <c r="B8" s="70" t="s">
        <v>182</v>
      </c>
      <c r="C8" s="74" t="s">
        <v>25</v>
      </c>
      <c r="D8" s="50">
        <v>1</v>
      </c>
      <c r="E8" s="168">
        <f>+'LISTA MAESTRA'!D38</f>
        <v>100</v>
      </c>
      <c r="F8" s="169">
        <f t="shared" si="0"/>
        <v>100</v>
      </c>
    </row>
    <row r="9" spans="1:11" x14ac:dyDescent="0.25">
      <c r="A9" s="47"/>
      <c r="B9" s="70" t="s">
        <v>257</v>
      </c>
      <c r="C9" s="74" t="s">
        <v>9</v>
      </c>
      <c r="D9" s="50">
        <v>50</v>
      </c>
      <c r="E9" s="168">
        <f>+'LISTA MAESTRA'!D74</f>
        <v>23.4</v>
      </c>
      <c r="F9" s="169">
        <f t="shared" si="0"/>
        <v>1170</v>
      </c>
    </row>
    <row r="10" spans="1:11" x14ac:dyDescent="0.25">
      <c r="A10" s="53"/>
      <c r="B10" s="71" t="s">
        <v>412</v>
      </c>
      <c r="C10" s="74" t="s">
        <v>198</v>
      </c>
      <c r="D10" s="54">
        <v>1</v>
      </c>
      <c r="E10" s="169">
        <f>+'RECETA BASE'!F59</f>
        <v>1435.1399999999999</v>
      </c>
      <c r="F10" s="169">
        <f t="shared" si="0"/>
        <v>1435.1399999999999</v>
      </c>
    </row>
    <row r="11" spans="1:11" x14ac:dyDescent="0.25">
      <c r="A11" s="72"/>
      <c r="B11" s="71" t="s">
        <v>186</v>
      </c>
      <c r="C11" s="74" t="s">
        <v>198</v>
      </c>
      <c r="D11" s="73">
        <v>1</v>
      </c>
      <c r="E11" s="169">
        <f>+'RECETA BASE'!F73</f>
        <v>1684.075</v>
      </c>
      <c r="F11" s="169">
        <f t="shared" si="0"/>
        <v>1684.075</v>
      </c>
    </row>
    <row r="12" spans="1:11" x14ac:dyDescent="0.25">
      <c r="A12" s="72"/>
      <c r="B12" s="71" t="s">
        <v>261</v>
      </c>
      <c r="C12" s="49" t="s">
        <v>25</v>
      </c>
      <c r="D12" s="73">
        <v>5</v>
      </c>
      <c r="E12" s="169">
        <f>+'LISTA MAESTRA'!D111</f>
        <v>216.4</v>
      </c>
      <c r="F12" s="169">
        <f t="shared" si="0"/>
        <v>1082</v>
      </c>
    </row>
    <row r="13" spans="1:11" x14ac:dyDescent="0.25">
      <c r="A13" s="55"/>
      <c r="B13" s="48"/>
      <c r="C13" s="49"/>
      <c r="D13" s="50"/>
      <c r="E13" s="52"/>
      <c r="F13" s="52"/>
    </row>
    <row r="14" spans="1:11" x14ac:dyDescent="0.25">
      <c r="A14" s="290" t="s">
        <v>45</v>
      </c>
      <c r="B14" s="291"/>
      <c r="C14" s="291"/>
      <c r="D14" s="291"/>
      <c r="E14" s="292"/>
      <c r="F14" s="56">
        <f>SUM(F6:F13)</f>
        <v>10492.311333333333</v>
      </c>
    </row>
    <row r="15" spans="1:11" x14ac:dyDescent="0.25">
      <c r="A15" s="246" t="s">
        <v>46</v>
      </c>
      <c r="B15" s="247"/>
      <c r="C15" s="247"/>
      <c r="D15" s="248"/>
      <c r="E15" s="40">
        <v>0</v>
      </c>
      <c r="F15" s="57">
        <f>+F14*E15</f>
        <v>0</v>
      </c>
    </row>
    <row r="16" spans="1:11" x14ac:dyDescent="0.25">
      <c r="A16" s="290" t="s">
        <v>50</v>
      </c>
      <c r="B16" s="291"/>
      <c r="C16" s="291"/>
      <c r="D16" s="291"/>
      <c r="E16" s="292"/>
      <c r="F16" s="58">
        <f>+F14+F15</f>
        <v>10492.311333333333</v>
      </c>
    </row>
    <row r="17" spans="1:6" x14ac:dyDescent="0.25">
      <c r="A17" s="246" t="s">
        <v>51</v>
      </c>
      <c r="B17" s="247"/>
      <c r="C17" s="247"/>
      <c r="D17" s="247"/>
      <c r="E17" s="248"/>
      <c r="F17" s="59">
        <f>+F16/F4</f>
        <v>10492.311333333333</v>
      </c>
    </row>
    <row r="18" spans="1:6" x14ac:dyDescent="0.25">
      <c r="A18" s="290" t="s">
        <v>53</v>
      </c>
      <c r="B18" s="291"/>
      <c r="C18" s="291"/>
      <c r="D18" s="291"/>
      <c r="E18" s="292"/>
      <c r="F18" s="61">
        <v>0.35</v>
      </c>
    </row>
    <row r="19" spans="1:6" x14ac:dyDescent="0.25">
      <c r="A19" s="246" t="s">
        <v>54</v>
      </c>
      <c r="B19" s="247"/>
      <c r="C19" s="247"/>
      <c r="D19" s="247"/>
      <c r="E19" s="248"/>
      <c r="F19" s="57">
        <f>+F17/F18</f>
        <v>29978.032380952383</v>
      </c>
    </row>
    <row r="20" spans="1:6" x14ac:dyDescent="0.25">
      <c r="A20" s="290" t="s">
        <v>55</v>
      </c>
      <c r="B20" s="291"/>
      <c r="C20" s="291"/>
      <c r="D20" s="291"/>
      <c r="E20" s="292"/>
      <c r="F20" s="56">
        <f>ROUNDUP(F19,-2)</f>
        <v>30000</v>
      </c>
    </row>
    <row r="21" spans="1:6" x14ac:dyDescent="0.25">
      <c r="A21" s="293" t="s">
        <v>56</v>
      </c>
      <c r="B21" s="294"/>
      <c r="C21" s="294"/>
      <c r="D21" s="294"/>
      <c r="E21" s="295"/>
      <c r="F21" s="65">
        <f>+F17/F20</f>
        <v>0.34974371111111108</v>
      </c>
    </row>
    <row r="22" spans="1:6" x14ac:dyDescent="0.25">
      <c r="A22" s="290" t="s">
        <v>57</v>
      </c>
      <c r="B22" s="291"/>
      <c r="C22" s="291"/>
      <c r="D22" s="292"/>
      <c r="E22" s="66">
        <v>0.08</v>
      </c>
      <c r="F22" s="58">
        <f>+F20*E22</f>
        <v>2400</v>
      </c>
    </row>
    <row r="23" spans="1:6" ht="15.75" customHeight="1" x14ac:dyDescent="0.25">
      <c r="A23" s="246" t="s">
        <v>58</v>
      </c>
      <c r="B23" s="247"/>
      <c r="C23" s="247"/>
      <c r="D23" s="247"/>
      <c r="E23" s="248"/>
      <c r="F23" s="67">
        <f>+F20+F22</f>
        <v>32400</v>
      </c>
    </row>
    <row r="24" spans="1:6" ht="15.75" customHeight="1" x14ac:dyDescent="0.25"/>
    <row r="25" spans="1:6" ht="15.75" customHeight="1" thickBot="1" x14ac:dyDescent="0.3"/>
    <row r="26" spans="1:6" ht="15.75" customHeight="1" thickBot="1" x14ac:dyDescent="0.3">
      <c r="A26" s="252" t="s">
        <v>96</v>
      </c>
      <c r="B26" s="253"/>
      <c r="C26" s="253"/>
      <c r="D26" s="253"/>
      <c r="E26" s="253"/>
      <c r="F26" s="254"/>
    </row>
    <row r="27" spans="1:6" ht="21" customHeight="1" x14ac:dyDescent="0.25">
      <c r="A27" s="261" t="s">
        <v>178</v>
      </c>
      <c r="B27" s="262"/>
      <c r="C27" s="262"/>
      <c r="D27" s="262"/>
      <c r="E27" s="262"/>
      <c r="F27" s="263"/>
    </row>
    <row r="28" spans="1:6" x14ac:dyDescent="0.25">
      <c r="A28" s="237" t="s">
        <v>59</v>
      </c>
      <c r="B28" s="296"/>
      <c r="C28" s="296"/>
      <c r="D28" s="297"/>
      <c r="E28" s="26" t="s">
        <v>49</v>
      </c>
      <c r="F28" s="27">
        <v>2</v>
      </c>
    </row>
    <row r="29" spans="1:6" x14ac:dyDescent="0.25">
      <c r="A29" s="298"/>
      <c r="B29" s="299"/>
      <c r="C29" s="299"/>
      <c r="D29" s="300"/>
      <c r="E29" s="28" t="s">
        <v>37</v>
      </c>
      <c r="F29" s="29">
        <v>1</v>
      </c>
    </row>
    <row r="30" spans="1:6" x14ac:dyDescent="0.25">
      <c r="A30" s="43" t="s">
        <v>38</v>
      </c>
      <c r="B30" s="43" t="s">
        <v>39</v>
      </c>
      <c r="C30" s="43" t="s">
        <v>40</v>
      </c>
      <c r="D30" s="44" t="s">
        <v>41</v>
      </c>
      <c r="E30" s="45" t="s">
        <v>42</v>
      </c>
      <c r="F30" s="46" t="s">
        <v>43</v>
      </c>
    </row>
    <row r="31" spans="1:6" x14ac:dyDescent="0.25">
      <c r="A31" s="47"/>
      <c r="B31" s="70" t="s">
        <v>62</v>
      </c>
      <c r="C31" s="74" t="s">
        <v>25</v>
      </c>
      <c r="D31" s="50">
        <v>2</v>
      </c>
      <c r="E31" s="166">
        <f>+'LISTA MAESTRA'!D39</f>
        <v>433.33333333333331</v>
      </c>
      <c r="F31" s="167">
        <f t="shared" ref="F31:F39" si="1">E31*D31</f>
        <v>866.66666666666663</v>
      </c>
    </row>
    <row r="32" spans="1:6" x14ac:dyDescent="0.25">
      <c r="A32" s="47"/>
      <c r="B32" s="70" t="s">
        <v>253</v>
      </c>
      <c r="C32" s="74" t="s">
        <v>9</v>
      </c>
      <c r="D32" s="50">
        <v>25</v>
      </c>
      <c r="E32" s="166">
        <f>+'LISTA MAESTRA'!D87</f>
        <v>17.262499999999999</v>
      </c>
      <c r="F32" s="167">
        <f t="shared" si="1"/>
        <v>431.5625</v>
      </c>
    </row>
    <row r="33" spans="1:6" x14ac:dyDescent="0.25">
      <c r="A33" s="47"/>
      <c r="B33" s="70" t="s">
        <v>185</v>
      </c>
      <c r="C33" s="74"/>
      <c r="D33" s="50"/>
      <c r="E33" s="166"/>
      <c r="F33" s="167">
        <f t="shared" si="1"/>
        <v>0</v>
      </c>
    </row>
    <row r="34" spans="1:6" x14ac:dyDescent="0.25">
      <c r="A34" s="47"/>
      <c r="B34" s="70" t="s">
        <v>186</v>
      </c>
      <c r="C34" s="74" t="s">
        <v>198</v>
      </c>
      <c r="D34" s="50">
        <v>1</v>
      </c>
      <c r="E34" s="166">
        <f>+'RECETA BASE'!F73</f>
        <v>1684.075</v>
      </c>
      <c r="F34" s="167">
        <f t="shared" si="1"/>
        <v>1684.075</v>
      </c>
    </row>
    <row r="35" spans="1:6" x14ac:dyDescent="0.25">
      <c r="A35" s="47"/>
      <c r="B35" s="70" t="s">
        <v>182</v>
      </c>
      <c r="C35" s="74" t="s">
        <v>25</v>
      </c>
      <c r="D35" s="50">
        <v>1</v>
      </c>
      <c r="E35" s="166">
        <f>+'LISTA MAESTRA'!D38</f>
        <v>100</v>
      </c>
      <c r="F35" s="167">
        <f t="shared" si="1"/>
        <v>100</v>
      </c>
    </row>
    <row r="36" spans="1:6" x14ac:dyDescent="0.25">
      <c r="A36" s="53"/>
      <c r="B36" s="71" t="s">
        <v>384</v>
      </c>
      <c r="C36" s="74" t="s">
        <v>25</v>
      </c>
      <c r="D36" s="54">
        <v>5</v>
      </c>
      <c r="E36" s="167">
        <f>+'LISTA MAESTRA'!D111</f>
        <v>216.4</v>
      </c>
      <c r="F36" s="167">
        <f t="shared" si="1"/>
        <v>1082</v>
      </c>
    </row>
    <row r="37" spans="1:6" x14ac:dyDescent="0.25">
      <c r="A37" s="72"/>
      <c r="B37" s="71" t="s">
        <v>413</v>
      </c>
      <c r="C37" s="74" t="s">
        <v>198</v>
      </c>
      <c r="D37" s="73">
        <v>1</v>
      </c>
      <c r="E37" s="167">
        <f>+'RECETA BASE'!F59</f>
        <v>1435.1399999999999</v>
      </c>
      <c r="F37" s="167">
        <f t="shared" si="1"/>
        <v>1435.1399999999999</v>
      </c>
    </row>
    <row r="38" spans="1:6" x14ac:dyDescent="0.25">
      <c r="A38" s="72"/>
      <c r="B38" s="71"/>
      <c r="C38" s="49"/>
      <c r="D38" s="73"/>
      <c r="E38" s="167"/>
      <c r="F38" s="167">
        <f t="shared" si="1"/>
        <v>0</v>
      </c>
    </row>
    <row r="39" spans="1:6" x14ac:dyDescent="0.25">
      <c r="A39" s="55"/>
      <c r="B39" s="48"/>
      <c r="C39" s="49"/>
      <c r="D39" s="50"/>
      <c r="E39" s="167"/>
      <c r="F39" s="167">
        <f t="shared" si="1"/>
        <v>0</v>
      </c>
    </row>
    <row r="40" spans="1:6" x14ac:dyDescent="0.25">
      <c r="A40" s="290" t="s">
        <v>45</v>
      </c>
      <c r="B40" s="291"/>
      <c r="C40" s="291"/>
      <c r="D40" s="291"/>
      <c r="E40" s="292"/>
      <c r="F40" s="56">
        <f>SUM(F31:F39)</f>
        <v>5599.4441666666662</v>
      </c>
    </row>
    <row r="41" spans="1:6" x14ac:dyDescent="0.25">
      <c r="A41" s="246" t="s">
        <v>46</v>
      </c>
      <c r="B41" s="247"/>
      <c r="C41" s="247"/>
      <c r="D41" s="248"/>
      <c r="E41" s="40">
        <v>0</v>
      </c>
      <c r="F41" s="57">
        <f>+F40*E41</f>
        <v>0</v>
      </c>
    </row>
    <row r="42" spans="1:6" x14ac:dyDescent="0.25">
      <c r="A42" s="290" t="s">
        <v>50</v>
      </c>
      <c r="B42" s="291"/>
      <c r="C42" s="291"/>
      <c r="D42" s="291"/>
      <c r="E42" s="292"/>
      <c r="F42" s="58">
        <f>+F40+F41</f>
        <v>5599.4441666666662</v>
      </c>
    </row>
    <row r="43" spans="1:6" x14ac:dyDescent="0.25">
      <c r="A43" s="246" t="s">
        <v>51</v>
      </c>
      <c r="B43" s="247"/>
      <c r="C43" s="247"/>
      <c r="D43" s="247"/>
      <c r="E43" s="248"/>
      <c r="F43" s="59">
        <f>+F42/F29</f>
        <v>5599.4441666666662</v>
      </c>
    </row>
    <row r="44" spans="1:6" x14ac:dyDescent="0.25">
      <c r="A44" s="290" t="s">
        <v>53</v>
      </c>
      <c r="B44" s="291"/>
      <c r="C44" s="291"/>
      <c r="D44" s="291"/>
      <c r="E44" s="292"/>
      <c r="F44" s="61">
        <v>0.35</v>
      </c>
    </row>
    <row r="45" spans="1:6" x14ac:dyDescent="0.25">
      <c r="A45" s="246" t="s">
        <v>54</v>
      </c>
      <c r="B45" s="247"/>
      <c r="C45" s="247"/>
      <c r="D45" s="247"/>
      <c r="E45" s="248"/>
      <c r="F45" s="57">
        <f>+F43/F44</f>
        <v>15998.411904761904</v>
      </c>
    </row>
    <row r="46" spans="1:6" x14ac:dyDescent="0.25">
      <c r="A46" s="290" t="s">
        <v>55</v>
      </c>
      <c r="B46" s="291"/>
      <c r="C46" s="291"/>
      <c r="D46" s="291"/>
      <c r="E46" s="292"/>
      <c r="F46" s="56">
        <f>ROUNDUP(F45,-2)</f>
        <v>16000</v>
      </c>
    </row>
    <row r="47" spans="1:6" x14ac:dyDescent="0.25">
      <c r="A47" s="293" t="s">
        <v>56</v>
      </c>
      <c r="B47" s="294"/>
      <c r="C47" s="294"/>
      <c r="D47" s="294"/>
      <c r="E47" s="295"/>
      <c r="F47" s="65">
        <f>+F43/F46</f>
        <v>0.34996526041666665</v>
      </c>
    </row>
    <row r="48" spans="1:6" x14ac:dyDescent="0.25">
      <c r="A48" s="290" t="s">
        <v>57</v>
      </c>
      <c r="B48" s="291"/>
      <c r="C48" s="291"/>
      <c r="D48" s="292"/>
      <c r="E48" s="66">
        <v>0.08</v>
      </c>
      <c r="F48" s="58">
        <f>+F46*E48</f>
        <v>1280</v>
      </c>
    </row>
    <row r="49" spans="1:6" ht="15.75" customHeight="1" x14ac:dyDescent="0.25">
      <c r="A49" s="246" t="s">
        <v>58</v>
      </c>
      <c r="B49" s="247"/>
      <c r="C49" s="247"/>
      <c r="D49" s="247"/>
      <c r="E49" s="248"/>
      <c r="F49" s="67">
        <f>+F46+F48</f>
        <v>17280</v>
      </c>
    </row>
    <row r="50" spans="1:6" ht="15.75" customHeight="1" x14ac:dyDescent="0.25"/>
    <row r="51" spans="1:6" ht="15.75" customHeight="1" thickBot="1" x14ac:dyDescent="0.3"/>
    <row r="52" spans="1:6" ht="15.75" customHeight="1" thickBot="1" x14ac:dyDescent="0.3">
      <c r="A52" s="252" t="s">
        <v>97</v>
      </c>
      <c r="B52" s="253"/>
      <c r="C52" s="253"/>
      <c r="D52" s="253"/>
      <c r="E52" s="253"/>
      <c r="F52" s="254"/>
    </row>
    <row r="53" spans="1:6" ht="21" customHeight="1" x14ac:dyDescent="0.25">
      <c r="A53" s="261" t="s">
        <v>178</v>
      </c>
      <c r="B53" s="262"/>
      <c r="C53" s="262"/>
      <c r="D53" s="262"/>
      <c r="E53" s="262"/>
      <c r="F53" s="263"/>
    </row>
    <row r="54" spans="1:6" x14ac:dyDescent="0.25">
      <c r="A54" s="237" t="s">
        <v>59</v>
      </c>
      <c r="B54" s="296"/>
      <c r="C54" s="296"/>
      <c r="D54" s="297"/>
      <c r="E54" s="26" t="s">
        <v>49</v>
      </c>
      <c r="F54" s="27">
        <v>3</v>
      </c>
    </row>
    <row r="55" spans="1:6" x14ac:dyDescent="0.25">
      <c r="A55" s="298"/>
      <c r="B55" s="299"/>
      <c r="C55" s="299"/>
      <c r="D55" s="300"/>
      <c r="E55" s="28" t="s">
        <v>37</v>
      </c>
      <c r="F55" s="29">
        <v>1</v>
      </c>
    </row>
    <row r="56" spans="1:6" x14ac:dyDescent="0.25">
      <c r="A56" s="43" t="s">
        <v>38</v>
      </c>
      <c r="B56" s="43" t="s">
        <v>39</v>
      </c>
      <c r="C56" s="43" t="s">
        <v>40</v>
      </c>
      <c r="D56" s="44" t="s">
        <v>41</v>
      </c>
      <c r="E56" s="45" t="s">
        <v>42</v>
      </c>
      <c r="F56" s="46" t="s">
        <v>43</v>
      </c>
    </row>
    <row r="57" spans="1:6" x14ac:dyDescent="0.25">
      <c r="A57" s="47"/>
      <c r="B57" s="70" t="s">
        <v>180</v>
      </c>
      <c r="C57" s="74" t="s">
        <v>25</v>
      </c>
      <c r="D57" s="50">
        <v>2</v>
      </c>
      <c r="E57" s="168">
        <f>+'LISTA MAESTRA'!D39</f>
        <v>433.33333333333331</v>
      </c>
      <c r="F57" s="169">
        <f>+E57*D57</f>
        <v>866.66666666666663</v>
      </c>
    </row>
    <row r="58" spans="1:6" x14ac:dyDescent="0.25">
      <c r="A58" s="47"/>
      <c r="B58" s="70" t="s">
        <v>187</v>
      </c>
      <c r="C58" s="74" t="s">
        <v>198</v>
      </c>
      <c r="D58" s="50">
        <v>1</v>
      </c>
      <c r="E58" s="168">
        <v>1600</v>
      </c>
      <c r="F58" s="169">
        <f t="shared" ref="F58:F64" si="2">+E58*D58</f>
        <v>1600</v>
      </c>
    </row>
    <row r="59" spans="1:6" x14ac:dyDescent="0.25">
      <c r="A59" s="47"/>
      <c r="B59" s="70" t="s">
        <v>188</v>
      </c>
      <c r="C59" s="74" t="s">
        <v>9</v>
      </c>
      <c r="D59" s="50">
        <v>4</v>
      </c>
      <c r="E59" s="168">
        <f>+'LISTA MAESTRA'!D120</f>
        <v>26</v>
      </c>
      <c r="F59" s="169">
        <f t="shared" si="2"/>
        <v>104</v>
      </c>
    </row>
    <row r="60" spans="1:6" x14ac:dyDescent="0.25">
      <c r="A60" s="47"/>
      <c r="B60" s="70" t="s">
        <v>186</v>
      </c>
      <c r="C60" s="74" t="s">
        <v>198</v>
      </c>
      <c r="D60" s="50">
        <v>1</v>
      </c>
      <c r="E60" s="168">
        <f>+'RECETA BASE'!F73</f>
        <v>1684.075</v>
      </c>
      <c r="F60" s="169">
        <f t="shared" si="2"/>
        <v>1684.075</v>
      </c>
    </row>
    <row r="61" spans="1:6" x14ac:dyDescent="0.25">
      <c r="A61" s="47"/>
      <c r="B61" s="70" t="s">
        <v>182</v>
      </c>
      <c r="C61" s="74" t="s">
        <v>25</v>
      </c>
      <c r="D61" s="50">
        <v>1</v>
      </c>
      <c r="E61" s="168">
        <f>+'LISTA MAESTRA'!D38</f>
        <v>100</v>
      </c>
      <c r="F61" s="169">
        <f t="shared" si="2"/>
        <v>100</v>
      </c>
    </row>
    <row r="62" spans="1:6" x14ac:dyDescent="0.25">
      <c r="A62" s="53"/>
      <c r="B62" s="71" t="s">
        <v>265</v>
      </c>
      <c r="C62" s="74" t="s">
        <v>25</v>
      </c>
      <c r="D62" s="54">
        <v>5</v>
      </c>
      <c r="E62" s="171">
        <f>+'LISTA MAESTRA'!D111</f>
        <v>216.4</v>
      </c>
      <c r="F62" s="169">
        <f t="shared" si="2"/>
        <v>1082</v>
      </c>
    </row>
    <row r="63" spans="1:6" x14ac:dyDescent="0.25">
      <c r="A63" s="72"/>
      <c r="B63" s="71" t="s">
        <v>266</v>
      </c>
      <c r="C63" s="74" t="s">
        <v>198</v>
      </c>
      <c r="D63" s="73">
        <v>1</v>
      </c>
      <c r="E63" s="171">
        <f>+'RECETA BASE'!F59</f>
        <v>1435.1399999999999</v>
      </c>
      <c r="F63" s="169">
        <f t="shared" si="2"/>
        <v>1435.1399999999999</v>
      </c>
    </row>
    <row r="64" spans="1:6" x14ac:dyDescent="0.25">
      <c r="A64" s="72"/>
      <c r="B64" s="71" t="s">
        <v>257</v>
      </c>
      <c r="C64" s="49" t="s">
        <v>9</v>
      </c>
      <c r="D64" s="73">
        <v>150</v>
      </c>
      <c r="E64" s="171">
        <f>+'LISTA MAESTRA'!D74</f>
        <v>23.4</v>
      </c>
      <c r="F64" s="169">
        <f t="shared" si="2"/>
        <v>3510</v>
      </c>
    </row>
    <row r="65" spans="1:6" x14ac:dyDescent="0.25">
      <c r="A65" s="55"/>
      <c r="B65" s="48"/>
      <c r="C65" s="49"/>
      <c r="D65" s="50"/>
      <c r="E65" s="50"/>
      <c r="F65" s="52"/>
    </row>
    <row r="66" spans="1:6" x14ac:dyDescent="0.25">
      <c r="A66" s="290" t="s">
        <v>45</v>
      </c>
      <c r="B66" s="291"/>
      <c r="C66" s="291"/>
      <c r="D66" s="291"/>
      <c r="E66" s="292"/>
      <c r="F66" s="56">
        <f>SUM(F57:F65)</f>
        <v>10381.881666666666</v>
      </c>
    </row>
    <row r="67" spans="1:6" x14ac:dyDescent="0.25">
      <c r="A67" s="246" t="s">
        <v>46</v>
      </c>
      <c r="B67" s="247"/>
      <c r="C67" s="247"/>
      <c r="D67" s="248"/>
      <c r="E67" s="40">
        <v>0</v>
      </c>
      <c r="F67" s="57">
        <f>+F66*E67</f>
        <v>0</v>
      </c>
    </row>
    <row r="68" spans="1:6" x14ac:dyDescent="0.25">
      <c r="A68" s="290" t="s">
        <v>50</v>
      </c>
      <c r="B68" s="291"/>
      <c r="C68" s="291"/>
      <c r="D68" s="291"/>
      <c r="E68" s="292"/>
      <c r="F68" s="58">
        <f>+F66+F67</f>
        <v>10381.881666666666</v>
      </c>
    </row>
    <row r="69" spans="1:6" x14ac:dyDescent="0.25">
      <c r="A69" s="246" t="s">
        <v>51</v>
      </c>
      <c r="B69" s="247"/>
      <c r="C69" s="247"/>
      <c r="D69" s="247"/>
      <c r="E69" s="248"/>
      <c r="F69" s="59">
        <f>+F68/F55</f>
        <v>10381.881666666666</v>
      </c>
    </row>
    <row r="70" spans="1:6" x14ac:dyDescent="0.25">
      <c r="A70" s="290" t="s">
        <v>53</v>
      </c>
      <c r="B70" s="291"/>
      <c r="C70" s="291"/>
      <c r="D70" s="291"/>
      <c r="E70" s="292"/>
      <c r="F70" s="61">
        <v>0.3</v>
      </c>
    </row>
    <row r="71" spans="1:6" x14ac:dyDescent="0.25">
      <c r="A71" s="246" t="s">
        <v>54</v>
      </c>
      <c r="B71" s="247"/>
      <c r="C71" s="247"/>
      <c r="D71" s="247"/>
      <c r="E71" s="248"/>
      <c r="F71" s="57">
        <f>+F69/F70</f>
        <v>34606.272222222222</v>
      </c>
    </row>
    <row r="72" spans="1:6" x14ac:dyDescent="0.25">
      <c r="A72" s="290" t="s">
        <v>55</v>
      </c>
      <c r="B72" s="291"/>
      <c r="C72" s="291"/>
      <c r="D72" s="291"/>
      <c r="E72" s="292"/>
      <c r="F72" s="56">
        <f>ROUNDUP(F71,-2)</f>
        <v>34700</v>
      </c>
    </row>
    <row r="73" spans="1:6" x14ac:dyDescent="0.25">
      <c r="A73" s="293" t="s">
        <v>56</v>
      </c>
      <c r="B73" s="294"/>
      <c r="C73" s="294"/>
      <c r="D73" s="294"/>
      <c r="E73" s="295"/>
      <c r="F73" s="65">
        <f>+F69/F72</f>
        <v>0.29918967339097019</v>
      </c>
    </row>
    <row r="74" spans="1:6" x14ac:dyDescent="0.25">
      <c r="A74" s="290" t="s">
        <v>57</v>
      </c>
      <c r="B74" s="291"/>
      <c r="C74" s="291"/>
      <c r="D74" s="292"/>
      <c r="E74" s="66">
        <v>0.08</v>
      </c>
      <c r="F74" s="58">
        <f>+F72*E74</f>
        <v>2776</v>
      </c>
    </row>
    <row r="75" spans="1:6" ht="15.75" customHeight="1" x14ac:dyDescent="0.25">
      <c r="A75" s="246" t="s">
        <v>58</v>
      </c>
      <c r="B75" s="247"/>
      <c r="C75" s="247"/>
      <c r="D75" s="247"/>
      <c r="E75" s="248"/>
      <c r="F75" s="67">
        <f>+F72+F74</f>
        <v>37476</v>
      </c>
    </row>
    <row r="76" spans="1:6" ht="15.75" customHeight="1" x14ac:dyDescent="0.25"/>
    <row r="77" spans="1:6" ht="15.75" customHeight="1" thickBot="1" x14ac:dyDescent="0.3"/>
    <row r="78" spans="1:6" ht="15.75" customHeight="1" thickBot="1" x14ac:dyDescent="0.3">
      <c r="A78" s="252" t="s">
        <v>99</v>
      </c>
      <c r="B78" s="253"/>
      <c r="C78" s="253"/>
      <c r="D78" s="253"/>
      <c r="E78" s="253"/>
      <c r="F78" s="254"/>
    </row>
    <row r="79" spans="1:6" ht="21" customHeight="1" x14ac:dyDescent="0.25">
      <c r="A79" s="301" t="s">
        <v>34</v>
      </c>
      <c r="B79" s="302"/>
      <c r="C79" s="302"/>
      <c r="D79" s="302"/>
      <c r="E79" s="302"/>
      <c r="F79" s="303"/>
    </row>
    <row r="80" spans="1:6" x14ac:dyDescent="0.25">
      <c r="A80" s="237" t="s">
        <v>59</v>
      </c>
      <c r="B80" s="296"/>
      <c r="C80" s="296"/>
      <c r="D80" s="297"/>
      <c r="E80" s="26" t="s">
        <v>49</v>
      </c>
      <c r="F80" s="174" t="s">
        <v>414</v>
      </c>
    </row>
    <row r="81" spans="1:6" x14ac:dyDescent="0.25">
      <c r="A81" s="298"/>
      <c r="B81" s="299"/>
      <c r="C81" s="299"/>
      <c r="D81" s="300"/>
      <c r="E81" s="28" t="s">
        <v>37</v>
      </c>
      <c r="F81" s="29">
        <v>1</v>
      </c>
    </row>
    <row r="82" spans="1:6" x14ac:dyDescent="0.25">
      <c r="A82" s="43" t="s">
        <v>38</v>
      </c>
      <c r="B82" s="43" t="s">
        <v>39</v>
      </c>
      <c r="C82" s="43" t="s">
        <v>40</v>
      </c>
      <c r="D82" s="44" t="s">
        <v>41</v>
      </c>
      <c r="E82" s="45" t="s">
        <v>42</v>
      </c>
      <c r="F82" s="46" t="s">
        <v>43</v>
      </c>
    </row>
    <row r="83" spans="1:6" x14ac:dyDescent="0.25">
      <c r="A83" s="47"/>
      <c r="B83" s="141" t="s">
        <v>180</v>
      </c>
      <c r="C83" s="74" t="s">
        <v>25</v>
      </c>
      <c r="D83" s="50">
        <v>2</v>
      </c>
      <c r="E83" s="168">
        <f>+'LISTA MAESTRA'!D39</f>
        <v>433.33333333333331</v>
      </c>
      <c r="F83" s="171">
        <f t="shared" ref="F83:F91" si="3">E83*D83</f>
        <v>866.66666666666663</v>
      </c>
    </row>
    <row r="84" spans="1:6" x14ac:dyDescent="0.25">
      <c r="A84" s="47"/>
      <c r="B84" s="141" t="s">
        <v>189</v>
      </c>
      <c r="C84" s="74"/>
      <c r="D84" s="50"/>
      <c r="E84" s="168"/>
      <c r="F84" s="171">
        <f t="shared" si="3"/>
        <v>0</v>
      </c>
    </row>
    <row r="85" spans="1:6" x14ac:dyDescent="0.25">
      <c r="A85" s="47"/>
      <c r="B85" s="141" t="s">
        <v>186</v>
      </c>
      <c r="C85" s="74" t="s">
        <v>198</v>
      </c>
      <c r="D85" s="50">
        <v>1</v>
      </c>
      <c r="E85" s="168">
        <f>+'RECETA BASE'!F73</f>
        <v>1684.075</v>
      </c>
      <c r="F85" s="171">
        <f t="shared" si="3"/>
        <v>1684.075</v>
      </c>
    </row>
    <row r="86" spans="1:6" x14ac:dyDescent="0.25">
      <c r="A86" s="47"/>
      <c r="B86" s="141" t="s">
        <v>182</v>
      </c>
      <c r="C86" s="74" t="s">
        <v>25</v>
      </c>
      <c r="D86" s="50">
        <v>1</v>
      </c>
      <c r="E86" s="168">
        <f>+'LISTA MAESTRA'!D38</f>
        <v>100</v>
      </c>
      <c r="F86" s="171">
        <f t="shared" si="3"/>
        <v>100</v>
      </c>
    </row>
    <row r="87" spans="1:6" x14ac:dyDescent="0.25">
      <c r="A87" s="47"/>
      <c r="B87" s="172" t="s">
        <v>385</v>
      </c>
      <c r="C87" s="74" t="s">
        <v>25</v>
      </c>
      <c r="D87" s="54">
        <v>5</v>
      </c>
      <c r="E87" s="168">
        <f>+'LISTA MAESTRA'!D111</f>
        <v>216.4</v>
      </c>
      <c r="F87" s="171">
        <f t="shared" si="3"/>
        <v>1082</v>
      </c>
    </row>
    <row r="88" spans="1:6" x14ac:dyDescent="0.25">
      <c r="A88" s="53"/>
      <c r="B88" s="172" t="s">
        <v>386</v>
      </c>
      <c r="C88" s="74" t="s">
        <v>198</v>
      </c>
      <c r="D88" s="73">
        <v>0.5</v>
      </c>
      <c r="E88" s="171">
        <f>+'RECETA BASE'!F59</f>
        <v>1435.1399999999999</v>
      </c>
      <c r="F88" s="171">
        <f t="shared" si="3"/>
        <v>717.56999999999994</v>
      </c>
    </row>
    <row r="89" spans="1:6" x14ac:dyDescent="0.25">
      <c r="A89" s="72"/>
      <c r="B89" s="172" t="s">
        <v>257</v>
      </c>
      <c r="C89" s="49" t="s">
        <v>9</v>
      </c>
      <c r="D89" s="73">
        <v>70</v>
      </c>
      <c r="E89" s="171">
        <f>+'LISTA MAESTRA'!D74</f>
        <v>23.4</v>
      </c>
      <c r="F89" s="171">
        <f t="shared" si="3"/>
        <v>1638</v>
      </c>
    </row>
    <row r="90" spans="1:6" x14ac:dyDescent="0.25">
      <c r="A90" s="72"/>
      <c r="B90" s="172" t="s">
        <v>253</v>
      </c>
      <c r="C90" s="74" t="s">
        <v>9</v>
      </c>
      <c r="D90" s="73">
        <v>30</v>
      </c>
      <c r="E90" s="171">
        <f>+'LISTA MAESTRA'!D87</f>
        <v>17.262499999999999</v>
      </c>
      <c r="F90" s="171">
        <f t="shared" si="3"/>
        <v>517.875</v>
      </c>
    </row>
    <row r="91" spans="1:6" x14ac:dyDescent="0.25">
      <c r="A91" s="55"/>
      <c r="B91" s="173"/>
      <c r="C91" s="49"/>
      <c r="D91" s="50"/>
      <c r="E91" s="171"/>
      <c r="F91" s="171">
        <f t="shared" si="3"/>
        <v>0</v>
      </c>
    </row>
    <row r="92" spans="1:6" x14ac:dyDescent="0.25">
      <c r="A92" s="290" t="s">
        <v>45</v>
      </c>
      <c r="B92" s="291"/>
      <c r="C92" s="291"/>
      <c r="D92" s="291"/>
      <c r="E92" s="292"/>
      <c r="F92" s="56">
        <f>SUM(F83:F91)</f>
        <v>6606.1866666666665</v>
      </c>
    </row>
    <row r="93" spans="1:6" x14ac:dyDescent="0.25">
      <c r="A93" s="246" t="s">
        <v>46</v>
      </c>
      <c r="B93" s="247"/>
      <c r="C93" s="247"/>
      <c r="D93" s="248"/>
      <c r="E93" s="40">
        <v>0</v>
      </c>
      <c r="F93" s="57">
        <f>+F92*E93</f>
        <v>0</v>
      </c>
    </row>
    <row r="94" spans="1:6" x14ac:dyDescent="0.25">
      <c r="A94" s="290" t="s">
        <v>50</v>
      </c>
      <c r="B94" s="291"/>
      <c r="C94" s="291"/>
      <c r="D94" s="291"/>
      <c r="E94" s="292"/>
      <c r="F94" s="58">
        <f>+F92+F93</f>
        <v>6606.1866666666665</v>
      </c>
    </row>
    <row r="95" spans="1:6" x14ac:dyDescent="0.25">
      <c r="A95" s="246" t="s">
        <v>51</v>
      </c>
      <c r="B95" s="247"/>
      <c r="C95" s="247"/>
      <c r="D95" s="247"/>
      <c r="E95" s="248"/>
      <c r="F95" s="59">
        <f>+F94/F81</f>
        <v>6606.1866666666665</v>
      </c>
    </row>
    <row r="96" spans="1:6" x14ac:dyDescent="0.25">
      <c r="A96" s="290" t="s">
        <v>53</v>
      </c>
      <c r="B96" s="291"/>
      <c r="C96" s="291"/>
      <c r="D96" s="291"/>
      <c r="E96" s="292"/>
      <c r="F96" s="61">
        <v>0.35</v>
      </c>
    </row>
    <row r="97" spans="1:6" x14ac:dyDescent="0.25">
      <c r="A97" s="246" t="s">
        <v>54</v>
      </c>
      <c r="B97" s="247"/>
      <c r="C97" s="247"/>
      <c r="D97" s="247"/>
      <c r="E97" s="248"/>
      <c r="F97" s="57">
        <f>+F95/F96</f>
        <v>18874.819047619047</v>
      </c>
    </row>
    <row r="98" spans="1:6" x14ac:dyDescent="0.25">
      <c r="A98" s="290" t="s">
        <v>55</v>
      </c>
      <c r="B98" s="291"/>
      <c r="C98" s="291"/>
      <c r="D98" s="291"/>
      <c r="E98" s="292"/>
      <c r="F98" s="56">
        <f>ROUNDUP(F97,-2)</f>
        <v>18900</v>
      </c>
    </row>
    <row r="99" spans="1:6" x14ac:dyDescent="0.25">
      <c r="A99" s="293" t="s">
        <v>56</v>
      </c>
      <c r="B99" s="294"/>
      <c r="C99" s="294"/>
      <c r="D99" s="294"/>
      <c r="E99" s="295"/>
      <c r="F99" s="65">
        <f>+F95/F98</f>
        <v>0.3495336860670194</v>
      </c>
    </row>
    <row r="100" spans="1:6" x14ac:dyDescent="0.25">
      <c r="A100" s="290" t="s">
        <v>57</v>
      </c>
      <c r="B100" s="291"/>
      <c r="C100" s="291"/>
      <c r="D100" s="292"/>
      <c r="E100" s="66">
        <v>0.08</v>
      </c>
      <c r="F100" s="58">
        <f>+F98*E100</f>
        <v>1512</v>
      </c>
    </row>
    <row r="101" spans="1:6" ht="15.75" customHeight="1" x14ac:dyDescent="0.25">
      <c r="A101" s="246" t="s">
        <v>58</v>
      </c>
      <c r="B101" s="247"/>
      <c r="C101" s="247"/>
      <c r="D101" s="247"/>
      <c r="E101" s="248"/>
      <c r="F101" s="67">
        <f>+F98+F100</f>
        <v>20412</v>
      </c>
    </row>
    <row r="102" spans="1:6" ht="15.75" customHeight="1" x14ac:dyDescent="0.25"/>
    <row r="103" spans="1:6" ht="15.75" customHeight="1" x14ac:dyDescent="0.25"/>
    <row r="104" spans="1:6" ht="15.75" customHeight="1" x14ac:dyDescent="0.25"/>
    <row r="105" spans="1:6" ht="15.75" customHeight="1" x14ac:dyDescent="0.25"/>
    <row r="106" spans="1:6" ht="15.75" customHeight="1" x14ac:dyDescent="0.25"/>
    <row r="107" spans="1:6" ht="15.75" customHeight="1" x14ac:dyDescent="0.25"/>
    <row r="108" spans="1:6" ht="15.75" customHeight="1" x14ac:dyDescent="0.25"/>
    <row r="109" spans="1:6" ht="15.75" customHeight="1" x14ac:dyDescent="0.25"/>
    <row r="110" spans="1:6" ht="15.75" customHeight="1" x14ac:dyDescent="0.25"/>
    <row r="111" spans="1:6" ht="15.75" customHeight="1" x14ac:dyDescent="0.25"/>
    <row r="112" spans="1:6"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sheetData>
  <mergeCells count="52">
    <mergeCell ref="A67:D67"/>
    <mergeCell ref="A66:E66"/>
    <mergeCell ref="A54:D55"/>
    <mergeCell ref="A53:F53"/>
    <mergeCell ref="A28:D29"/>
    <mergeCell ref="A44:E44"/>
    <mergeCell ref="A45:E45"/>
    <mergeCell ref="A46:E46"/>
    <mergeCell ref="A40:E40"/>
    <mergeCell ref="A41:D41"/>
    <mergeCell ref="A47:E47"/>
    <mergeCell ref="A27:F27"/>
    <mergeCell ref="A26:F26"/>
    <mergeCell ref="A78:F78"/>
    <mergeCell ref="A75:E75"/>
    <mergeCell ref="A74:D74"/>
    <mergeCell ref="A73:E73"/>
    <mergeCell ref="A72:E72"/>
    <mergeCell ref="A71:E71"/>
    <mergeCell ref="A70:E70"/>
    <mergeCell ref="A69:E69"/>
    <mergeCell ref="A68:E68"/>
    <mergeCell ref="A48:D48"/>
    <mergeCell ref="A49:E49"/>
    <mergeCell ref="A52:F52"/>
    <mergeCell ref="A42:E42"/>
    <mergeCell ref="A43:E43"/>
    <mergeCell ref="A100:D100"/>
    <mergeCell ref="A101:E101"/>
    <mergeCell ref="A94:E94"/>
    <mergeCell ref="A95:E95"/>
    <mergeCell ref="A96:E96"/>
    <mergeCell ref="A97:E97"/>
    <mergeCell ref="A98:E98"/>
    <mergeCell ref="A80:D81"/>
    <mergeCell ref="A79:F79"/>
    <mergeCell ref="A92:E92"/>
    <mergeCell ref="A93:D93"/>
    <mergeCell ref="A99:E99"/>
    <mergeCell ref="A22:D22"/>
    <mergeCell ref="A23:E23"/>
    <mergeCell ref="A1:F1"/>
    <mergeCell ref="A17:E17"/>
    <mergeCell ref="A18:E18"/>
    <mergeCell ref="A19:E19"/>
    <mergeCell ref="A20:E20"/>
    <mergeCell ref="A21:E21"/>
    <mergeCell ref="A14:E14"/>
    <mergeCell ref="A15:D15"/>
    <mergeCell ref="A16:E16"/>
    <mergeCell ref="A2:F2"/>
    <mergeCell ref="A3:D4"/>
  </mergeCells>
  <hyperlinks>
    <hyperlink ref="H2" location="'LISTA MAESTRA'!A1" display="LISTA MAESTRA" xr:uid="{00000000-0004-0000-0300-000000000000}"/>
    <hyperlink ref="I2" location="'RECETA BASE'!A1" display="'RECETA BASE'" xr:uid="{00000000-0004-0000-0300-000001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CD1C4-9E37-404C-9E83-B97CAB93E02D}">
  <sheetPr>
    <tabColor rgb="FF7030A0"/>
  </sheetPr>
  <dimension ref="A1:I770"/>
  <sheetViews>
    <sheetView topLeftCell="A18" workbookViewId="0">
      <selection activeCell="F31" sqref="F31"/>
    </sheetView>
  </sheetViews>
  <sheetFormatPr baseColWidth="10" defaultColWidth="14.42578125" defaultRowHeight="15" customHeight="1" x14ac:dyDescent="0.25"/>
  <cols>
    <col min="1" max="1" width="10.7109375" customWidth="1"/>
    <col min="2" max="2" width="29.7109375" customWidth="1"/>
    <col min="3" max="4" width="10.7109375" customWidth="1"/>
    <col min="5" max="5" width="13" customWidth="1"/>
    <col min="6" max="6" width="10.7109375" customWidth="1"/>
    <col min="7" max="7" width="4.42578125" customWidth="1"/>
    <col min="8" max="8" width="14.5703125" customWidth="1"/>
    <col min="9" max="9" width="13.28515625" customWidth="1"/>
    <col min="10" max="14" width="10.7109375" customWidth="1"/>
    <col min="15" max="15" width="4.28515625" customWidth="1"/>
    <col min="16" max="19" width="10.7109375" customWidth="1"/>
  </cols>
  <sheetData>
    <row r="1" spans="1:9" ht="21" customHeight="1" thickBot="1" x14ac:dyDescent="0.3">
      <c r="A1" s="252" t="s">
        <v>101</v>
      </c>
      <c r="B1" s="264"/>
      <c r="C1" s="264"/>
      <c r="D1" s="264"/>
      <c r="E1" s="264"/>
      <c r="F1" s="265"/>
    </row>
    <row r="2" spans="1:9" x14ac:dyDescent="0.25">
      <c r="A2" s="261" t="s">
        <v>178</v>
      </c>
      <c r="B2" s="262"/>
      <c r="C2" s="262"/>
      <c r="D2" s="262"/>
      <c r="E2" s="262"/>
      <c r="F2" s="263"/>
      <c r="H2" s="38" t="s">
        <v>44</v>
      </c>
      <c r="I2" s="60" t="s">
        <v>52</v>
      </c>
    </row>
    <row r="3" spans="1:9" x14ac:dyDescent="0.25">
      <c r="A3" s="286" t="s">
        <v>59</v>
      </c>
      <c r="B3" s="287"/>
      <c r="C3" s="287"/>
      <c r="D3" s="225"/>
      <c r="E3" s="26" t="s">
        <v>49</v>
      </c>
      <c r="F3" s="27">
        <v>6</v>
      </c>
    </row>
    <row r="4" spans="1:9" x14ac:dyDescent="0.25">
      <c r="A4" s="215"/>
      <c r="B4" s="288"/>
      <c r="C4" s="288"/>
      <c r="D4" s="226"/>
      <c r="E4" s="28" t="s">
        <v>37</v>
      </c>
      <c r="F4" s="29">
        <v>1</v>
      </c>
    </row>
    <row r="5" spans="1:9" x14ac:dyDescent="0.25">
      <c r="A5" s="43" t="s">
        <v>38</v>
      </c>
      <c r="B5" s="43" t="s">
        <v>39</v>
      </c>
      <c r="C5" s="43" t="s">
        <v>40</v>
      </c>
      <c r="D5" s="44" t="s">
        <v>41</v>
      </c>
      <c r="E5" s="45" t="s">
        <v>42</v>
      </c>
      <c r="F5" s="46" t="s">
        <v>43</v>
      </c>
    </row>
    <row r="6" spans="1:9" x14ac:dyDescent="0.25">
      <c r="A6" s="47"/>
      <c r="B6" s="70" t="s">
        <v>267</v>
      </c>
      <c r="C6" s="74" t="s">
        <v>25</v>
      </c>
      <c r="D6" s="50">
        <v>1</v>
      </c>
      <c r="E6" s="166">
        <f>+'LISTA MAESTRA'!D76</f>
        <v>2500</v>
      </c>
      <c r="F6" s="167">
        <f>+E6*D6</f>
        <v>2500</v>
      </c>
    </row>
    <row r="7" spans="1:9" x14ac:dyDescent="0.25">
      <c r="A7" s="47"/>
      <c r="B7" s="70" t="s">
        <v>191</v>
      </c>
      <c r="C7" s="74" t="s">
        <v>198</v>
      </c>
      <c r="D7" s="50">
        <v>1</v>
      </c>
      <c r="E7" s="166">
        <f>+'RECETA BASE'!F216</f>
        <v>4388.3999999999996</v>
      </c>
      <c r="F7" s="167">
        <f t="shared" ref="F7:F9" si="0">+E7*D7</f>
        <v>4388.3999999999996</v>
      </c>
    </row>
    <row r="8" spans="1:9" x14ac:dyDescent="0.25">
      <c r="A8" s="47"/>
      <c r="B8" s="70" t="s">
        <v>192</v>
      </c>
      <c r="C8" s="74" t="s">
        <v>9</v>
      </c>
      <c r="D8" s="50">
        <v>100</v>
      </c>
      <c r="E8" s="166">
        <f>+'LISTA MAESTRA'!D112</f>
        <v>15.4</v>
      </c>
      <c r="F8" s="167">
        <f t="shared" si="0"/>
        <v>1540</v>
      </c>
    </row>
    <row r="9" spans="1:9" x14ac:dyDescent="0.25">
      <c r="A9" s="47"/>
      <c r="B9" s="70"/>
      <c r="C9" s="74"/>
      <c r="D9" s="50"/>
      <c r="E9" s="166"/>
      <c r="F9" s="167">
        <f t="shared" si="0"/>
        <v>0</v>
      </c>
    </row>
    <row r="10" spans="1:9" x14ac:dyDescent="0.25">
      <c r="A10" s="55"/>
      <c r="B10" s="48"/>
      <c r="C10" s="49"/>
      <c r="D10" s="50"/>
      <c r="E10" s="167"/>
      <c r="F10" s="167"/>
    </row>
    <row r="11" spans="1:9" x14ac:dyDescent="0.25">
      <c r="A11" s="290" t="s">
        <v>45</v>
      </c>
      <c r="B11" s="232"/>
      <c r="C11" s="232"/>
      <c r="D11" s="232"/>
      <c r="E11" s="228"/>
      <c r="F11" s="56">
        <f>SUM(F6:F10)</f>
        <v>8428.4</v>
      </c>
    </row>
    <row r="12" spans="1:9" x14ac:dyDescent="0.25">
      <c r="A12" s="246" t="s">
        <v>46</v>
      </c>
      <c r="B12" s="232"/>
      <c r="C12" s="232"/>
      <c r="D12" s="228"/>
      <c r="E12" s="40">
        <v>0</v>
      </c>
      <c r="F12" s="57">
        <f>+F11*E12</f>
        <v>0</v>
      </c>
    </row>
    <row r="13" spans="1:9" x14ac:dyDescent="0.25">
      <c r="A13" s="290" t="s">
        <v>50</v>
      </c>
      <c r="B13" s="232"/>
      <c r="C13" s="232"/>
      <c r="D13" s="232"/>
      <c r="E13" s="228"/>
      <c r="F13" s="58">
        <f>+F11+F12</f>
        <v>8428.4</v>
      </c>
    </row>
    <row r="14" spans="1:9" x14ac:dyDescent="0.25">
      <c r="A14" s="246" t="s">
        <v>51</v>
      </c>
      <c r="B14" s="232"/>
      <c r="C14" s="232"/>
      <c r="D14" s="232"/>
      <c r="E14" s="228"/>
      <c r="F14" s="59">
        <f>+F13/F4</f>
        <v>8428.4</v>
      </c>
    </row>
    <row r="15" spans="1:9" x14ac:dyDescent="0.25">
      <c r="A15" s="290" t="s">
        <v>53</v>
      </c>
      <c r="B15" s="232"/>
      <c r="C15" s="232"/>
      <c r="D15" s="232"/>
      <c r="E15" s="228"/>
      <c r="F15" s="61">
        <v>0.35</v>
      </c>
    </row>
    <row r="16" spans="1:9" x14ac:dyDescent="0.25">
      <c r="A16" s="246" t="s">
        <v>54</v>
      </c>
      <c r="B16" s="232"/>
      <c r="C16" s="232"/>
      <c r="D16" s="232"/>
      <c r="E16" s="228"/>
      <c r="F16" s="57">
        <f>+F14/F15</f>
        <v>24081.142857142859</v>
      </c>
    </row>
    <row r="17" spans="1:6" x14ac:dyDescent="0.25">
      <c r="A17" s="290" t="s">
        <v>55</v>
      </c>
      <c r="B17" s="232"/>
      <c r="C17" s="232"/>
      <c r="D17" s="232"/>
      <c r="E17" s="228"/>
      <c r="F17" s="56">
        <f>ROUNDUP(F16,-2)</f>
        <v>24100</v>
      </c>
    </row>
    <row r="18" spans="1:6" x14ac:dyDescent="0.25">
      <c r="A18" s="293" t="s">
        <v>56</v>
      </c>
      <c r="B18" s="232"/>
      <c r="C18" s="232"/>
      <c r="D18" s="232"/>
      <c r="E18" s="228"/>
      <c r="F18" s="65">
        <f>+F14/F17</f>
        <v>0.34972614107883815</v>
      </c>
    </row>
    <row r="19" spans="1:6" x14ac:dyDescent="0.25">
      <c r="A19" s="290" t="s">
        <v>57</v>
      </c>
      <c r="B19" s="232"/>
      <c r="C19" s="232"/>
      <c r="D19" s="228"/>
      <c r="E19" s="66">
        <v>0.08</v>
      </c>
      <c r="F19" s="58">
        <f>+F17*E19</f>
        <v>1928</v>
      </c>
    </row>
    <row r="20" spans="1:6" x14ac:dyDescent="0.25">
      <c r="A20" s="246" t="s">
        <v>58</v>
      </c>
      <c r="B20" s="232"/>
      <c r="C20" s="232"/>
      <c r="D20" s="232"/>
      <c r="E20" s="228"/>
      <c r="F20" s="67">
        <f>+F17+F19</f>
        <v>26028</v>
      </c>
    </row>
    <row r="22" spans="1:6" ht="15.75" thickBot="1" x14ac:dyDescent="0.3"/>
    <row r="23" spans="1:6" ht="15.75" customHeight="1" thickBot="1" x14ac:dyDescent="0.3">
      <c r="A23" s="252" t="s">
        <v>183</v>
      </c>
      <c r="B23" s="264"/>
      <c r="C23" s="264"/>
      <c r="D23" s="264"/>
      <c r="E23" s="264"/>
      <c r="F23" s="265"/>
    </row>
    <row r="24" spans="1:6" ht="15.75" customHeight="1" x14ac:dyDescent="0.25">
      <c r="A24" s="261" t="s">
        <v>178</v>
      </c>
      <c r="B24" s="262"/>
      <c r="C24" s="262"/>
      <c r="D24" s="262"/>
      <c r="E24" s="262"/>
      <c r="F24" s="263"/>
    </row>
    <row r="25" spans="1:6" ht="15.75" customHeight="1" x14ac:dyDescent="0.25">
      <c r="A25" s="286" t="s">
        <v>59</v>
      </c>
      <c r="B25" s="287"/>
      <c r="C25" s="287"/>
      <c r="D25" s="225"/>
      <c r="E25" s="26" t="s">
        <v>49</v>
      </c>
      <c r="F25" s="27">
        <v>7</v>
      </c>
    </row>
    <row r="26" spans="1:6" ht="15.75" customHeight="1" x14ac:dyDescent="0.25">
      <c r="A26" s="215"/>
      <c r="B26" s="288"/>
      <c r="C26" s="288"/>
      <c r="D26" s="226"/>
      <c r="E26" s="28" t="s">
        <v>37</v>
      </c>
      <c r="F26" s="29">
        <v>1</v>
      </c>
    </row>
    <row r="27" spans="1:6" ht="21" customHeight="1" x14ac:dyDescent="0.25">
      <c r="A27" s="43" t="s">
        <v>38</v>
      </c>
      <c r="B27" s="43" t="s">
        <v>39</v>
      </c>
      <c r="C27" s="43" t="s">
        <v>40</v>
      </c>
      <c r="D27" s="44" t="s">
        <v>41</v>
      </c>
      <c r="E27" s="45" t="s">
        <v>42</v>
      </c>
      <c r="F27" s="46" t="s">
        <v>43</v>
      </c>
    </row>
    <row r="28" spans="1:6" x14ac:dyDescent="0.25">
      <c r="A28" s="47"/>
      <c r="B28" s="70" t="s">
        <v>272</v>
      </c>
      <c r="C28" s="74" t="s">
        <v>25</v>
      </c>
      <c r="D28" s="50">
        <v>1</v>
      </c>
      <c r="E28" s="51">
        <f>+'RECETA BASE'!F56</f>
        <v>2870.2799999999997</v>
      </c>
      <c r="F28" s="52">
        <f t="shared" ref="F28:F33" si="1">E28*D28</f>
        <v>2870.2799999999997</v>
      </c>
    </row>
    <row r="29" spans="1:6" x14ac:dyDescent="0.25">
      <c r="A29" s="47"/>
      <c r="B29" s="70" t="s">
        <v>190</v>
      </c>
      <c r="C29" s="74" t="s">
        <v>25</v>
      </c>
      <c r="D29" s="50">
        <v>1</v>
      </c>
      <c r="E29" s="51">
        <f>+'LISTA MAESTRA'!D76</f>
        <v>2500</v>
      </c>
      <c r="F29" s="52">
        <f t="shared" si="1"/>
        <v>2500</v>
      </c>
    </row>
    <row r="30" spans="1:6" x14ac:dyDescent="0.25">
      <c r="A30" s="47"/>
      <c r="B30" s="70" t="s">
        <v>193</v>
      </c>
      <c r="C30" s="74" t="s">
        <v>179</v>
      </c>
      <c r="D30" s="50">
        <v>1</v>
      </c>
      <c r="E30" s="51">
        <f>+'RECETA BASE'!F73</f>
        <v>1684.075</v>
      </c>
      <c r="F30" s="52">
        <f t="shared" si="1"/>
        <v>1684.075</v>
      </c>
    </row>
    <row r="31" spans="1:6" x14ac:dyDescent="0.25">
      <c r="A31" s="47"/>
      <c r="B31" s="70" t="s">
        <v>191</v>
      </c>
      <c r="C31" s="74" t="s">
        <v>179</v>
      </c>
      <c r="D31" s="50">
        <v>1</v>
      </c>
      <c r="E31" s="51">
        <f>+'RECETA BASE'!F216</f>
        <v>4388.3999999999996</v>
      </c>
      <c r="F31" s="52">
        <f t="shared" si="1"/>
        <v>4388.3999999999996</v>
      </c>
    </row>
    <row r="32" spans="1:6" x14ac:dyDescent="0.25">
      <c r="A32" s="47"/>
      <c r="B32" s="70" t="s">
        <v>257</v>
      </c>
      <c r="C32" s="74" t="s">
        <v>179</v>
      </c>
      <c r="D32" s="50">
        <v>50</v>
      </c>
      <c r="E32" s="51">
        <f>+'LISTA MAESTRA'!D74</f>
        <v>23.4</v>
      </c>
      <c r="F32" s="52">
        <f t="shared" si="1"/>
        <v>1170</v>
      </c>
    </row>
    <row r="33" spans="1:6" x14ac:dyDescent="0.25">
      <c r="A33" s="53"/>
      <c r="B33" s="71" t="s">
        <v>273</v>
      </c>
      <c r="C33" s="74" t="s">
        <v>179</v>
      </c>
      <c r="D33" s="54">
        <v>1</v>
      </c>
      <c r="E33" s="52"/>
      <c r="F33" s="52">
        <f t="shared" si="1"/>
        <v>0</v>
      </c>
    </row>
    <row r="34" spans="1:6" x14ac:dyDescent="0.25">
      <c r="A34" s="290" t="s">
        <v>45</v>
      </c>
      <c r="B34" s="232"/>
      <c r="C34" s="232"/>
      <c r="D34" s="232"/>
      <c r="E34" s="228"/>
      <c r="F34" s="56">
        <f>SUM(F28:F33)</f>
        <v>12612.754999999999</v>
      </c>
    </row>
    <row r="35" spans="1:6" x14ac:dyDescent="0.25">
      <c r="A35" s="246" t="s">
        <v>46</v>
      </c>
      <c r="B35" s="232"/>
      <c r="C35" s="232"/>
      <c r="D35" s="228"/>
      <c r="E35" s="40">
        <v>0</v>
      </c>
      <c r="F35" s="57">
        <f>+F34*E35</f>
        <v>0</v>
      </c>
    </row>
    <row r="36" spans="1:6" x14ac:dyDescent="0.25">
      <c r="A36" s="290" t="s">
        <v>50</v>
      </c>
      <c r="B36" s="232"/>
      <c r="C36" s="232"/>
      <c r="D36" s="232"/>
      <c r="E36" s="228"/>
      <c r="F36" s="58">
        <f>+F34+F35</f>
        <v>12612.754999999999</v>
      </c>
    </row>
    <row r="37" spans="1:6" x14ac:dyDescent="0.25">
      <c r="A37" s="246" t="s">
        <v>51</v>
      </c>
      <c r="B37" s="232"/>
      <c r="C37" s="232"/>
      <c r="D37" s="232"/>
      <c r="E37" s="228"/>
      <c r="F37" s="59">
        <f>+F36/F26</f>
        <v>12612.754999999999</v>
      </c>
    </row>
    <row r="38" spans="1:6" x14ac:dyDescent="0.25">
      <c r="A38" s="290" t="s">
        <v>53</v>
      </c>
      <c r="B38" s="232"/>
      <c r="C38" s="232"/>
      <c r="D38" s="232"/>
      <c r="E38" s="228"/>
      <c r="F38" s="61">
        <v>0.35</v>
      </c>
    </row>
    <row r="39" spans="1:6" x14ac:dyDescent="0.25">
      <c r="A39" s="246" t="s">
        <v>54</v>
      </c>
      <c r="B39" s="232"/>
      <c r="C39" s="232"/>
      <c r="D39" s="232"/>
      <c r="E39" s="228"/>
      <c r="F39" s="57">
        <f>+F37/F38</f>
        <v>36036.442857142858</v>
      </c>
    </row>
    <row r="40" spans="1:6" x14ac:dyDescent="0.25">
      <c r="A40" s="290" t="s">
        <v>55</v>
      </c>
      <c r="B40" s="232"/>
      <c r="C40" s="232"/>
      <c r="D40" s="232"/>
      <c r="E40" s="228"/>
      <c r="F40" s="56">
        <f>ROUNDUP(F39,-2)</f>
        <v>36100</v>
      </c>
    </row>
    <row r="41" spans="1:6" x14ac:dyDescent="0.25">
      <c r="A41" s="293" t="s">
        <v>56</v>
      </c>
      <c r="B41" s="232"/>
      <c r="C41" s="232"/>
      <c r="D41" s="232"/>
      <c r="E41" s="228"/>
      <c r="F41" s="65">
        <f>+F37/F40</f>
        <v>0.34938379501385042</v>
      </c>
    </row>
    <row r="42" spans="1:6" x14ac:dyDescent="0.25">
      <c r="A42" s="290" t="s">
        <v>57</v>
      </c>
      <c r="B42" s="232"/>
      <c r="C42" s="232"/>
      <c r="D42" s="228"/>
      <c r="E42" s="66">
        <v>0.08</v>
      </c>
      <c r="F42" s="58">
        <f>+F40*E42</f>
        <v>2888</v>
      </c>
    </row>
    <row r="43" spans="1:6" x14ac:dyDescent="0.25">
      <c r="A43" s="246" t="s">
        <v>58</v>
      </c>
      <c r="B43" s="232"/>
      <c r="C43" s="232"/>
      <c r="D43" s="232"/>
      <c r="E43" s="228"/>
      <c r="F43" s="67">
        <f>+F40+F42</f>
        <v>38988</v>
      </c>
    </row>
    <row r="45" spans="1:6" ht="15.75" thickBot="1" x14ac:dyDescent="0.3"/>
    <row r="46" spans="1:6" ht="15.75" thickBot="1" x14ac:dyDescent="0.3">
      <c r="A46" s="252" t="s">
        <v>103</v>
      </c>
      <c r="B46" s="264"/>
      <c r="C46" s="264"/>
      <c r="D46" s="264"/>
      <c r="E46" s="264"/>
      <c r="F46" s="265"/>
    </row>
    <row r="47" spans="1:6" x14ac:dyDescent="0.25">
      <c r="A47" s="261" t="s">
        <v>178</v>
      </c>
      <c r="B47" s="262"/>
      <c r="C47" s="262"/>
      <c r="D47" s="262"/>
      <c r="E47" s="262"/>
      <c r="F47" s="263"/>
    </row>
    <row r="48" spans="1:6" x14ac:dyDescent="0.25">
      <c r="A48" s="286" t="s">
        <v>59</v>
      </c>
      <c r="B48" s="287"/>
      <c r="C48" s="287"/>
      <c r="D48" s="225"/>
      <c r="E48" s="26" t="s">
        <v>49</v>
      </c>
      <c r="F48" s="27">
        <v>8</v>
      </c>
    </row>
    <row r="49" spans="1:6" ht="15.75" customHeight="1" x14ac:dyDescent="0.25">
      <c r="A49" s="215"/>
      <c r="B49" s="288"/>
      <c r="C49" s="288"/>
      <c r="D49" s="226"/>
      <c r="E49" s="28" t="s">
        <v>37</v>
      </c>
      <c r="F49" s="29">
        <v>1</v>
      </c>
    </row>
    <row r="50" spans="1:6" ht="15.75" customHeight="1" x14ac:dyDescent="0.25">
      <c r="A50" s="43" t="s">
        <v>38</v>
      </c>
      <c r="B50" s="43" t="s">
        <v>39</v>
      </c>
      <c r="C50" s="43" t="s">
        <v>40</v>
      </c>
      <c r="D50" s="44" t="s">
        <v>41</v>
      </c>
      <c r="E50" s="45" t="s">
        <v>42</v>
      </c>
      <c r="F50" s="46" t="s">
        <v>43</v>
      </c>
    </row>
    <row r="51" spans="1:6" ht="15.75" customHeight="1" x14ac:dyDescent="0.25">
      <c r="A51" s="47"/>
      <c r="B51" s="70" t="s">
        <v>194</v>
      </c>
      <c r="C51" s="74" t="s">
        <v>195</v>
      </c>
      <c r="D51" s="50">
        <v>1</v>
      </c>
      <c r="E51" s="78">
        <f>+'RECETA BASE'!F92</f>
        <v>5247</v>
      </c>
      <c r="F51" s="52">
        <f>+E51*D51</f>
        <v>5247</v>
      </c>
    </row>
    <row r="52" spans="1:6" ht="15.75" customHeight="1" x14ac:dyDescent="0.25">
      <c r="A52" s="47"/>
      <c r="B52" s="70"/>
      <c r="C52" s="74"/>
      <c r="D52" s="50"/>
      <c r="E52" s="78"/>
      <c r="F52" s="52"/>
    </row>
    <row r="53" spans="1:6" x14ac:dyDescent="0.25">
      <c r="A53" s="290" t="s">
        <v>45</v>
      </c>
      <c r="B53" s="232"/>
      <c r="C53" s="232"/>
      <c r="D53" s="232"/>
      <c r="E53" s="228"/>
      <c r="F53" s="56">
        <f>SUM(F51:F52)</f>
        <v>5247</v>
      </c>
    </row>
    <row r="54" spans="1:6" x14ac:dyDescent="0.25">
      <c r="A54" s="246" t="s">
        <v>46</v>
      </c>
      <c r="B54" s="232"/>
      <c r="C54" s="232"/>
      <c r="D54" s="228"/>
      <c r="E54" s="40">
        <v>0</v>
      </c>
      <c r="F54" s="57">
        <f>+F53*E54</f>
        <v>0</v>
      </c>
    </row>
    <row r="55" spans="1:6" x14ac:dyDescent="0.25">
      <c r="A55" s="290" t="s">
        <v>50</v>
      </c>
      <c r="B55" s="232"/>
      <c r="C55" s="232"/>
      <c r="D55" s="232"/>
      <c r="E55" s="228"/>
      <c r="F55" s="58">
        <f>+F53+F54</f>
        <v>5247</v>
      </c>
    </row>
    <row r="56" spans="1:6" x14ac:dyDescent="0.25">
      <c r="A56" s="246" t="s">
        <v>51</v>
      </c>
      <c r="B56" s="232"/>
      <c r="C56" s="232"/>
      <c r="D56" s="232"/>
      <c r="E56" s="228"/>
      <c r="F56" s="59">
        <f>+F55/F49</f>
        <v>5247</v>
      </c>
    </row>
    <row r="57" spans="1:6" x14ac:dyDescent="0.25">
      <c r="A57" s="290" t="s">
        <v>53</v>
      </c>
      <c r="B57" s="232"/>
      <c r="C57" s="232"/>
      <c r="D57" s="232"/>
      <c r="E57" s="228"/>
      <c r="F57" s="61">
        <v>0.3</v>
      </c>
    </row>
    <row r="58" spans="1:6" x14ac:dyDescent="0.25">
      <c r="A58" s="246" t="s">
        <v>54</v>
      </c>
      <c r="B58" s="232"/>
      <c r="C58" s="232"/>
      <c r="D58" s="232"/>
      <c r="E58" s="228"/>
      <c r="F58" s="57">
        <f>+F56/F57</f>
        <v>17490</v>
      </c>
    </row>
    <row r="59" spans="1:6" x14ac:dyDescent="0.25">
      <c r="A59" s="290" t="s">
        <v>55</v>
      </c>
      <c r="B59" s="232"/>
      <c r="C59" s="232"/>
      <c r="D59" s="232"/>
      <c r="E59" s="228"/>
      <c r="F59" s="56">
        <f>ROUNDUP(F58,-2)</f>
        <v>17500</v>
      </c>
    </row>
    <row r="60" spans="1:6" x14ac:dyDescent="0.25">
      <c r="A60" s="293" t="s">
        <v>56</v>
      </c>
      <c r="B60" s="232"/>
      <c r="C60" s="232"/>
      <c r="D60" s="232"/>
      <c r="E60" s="228"/>
      <c r="F60" s="65">
        <f>+F56/F59</f>
        <v>0.29982857142857144</v>
      </c>
    </row>
    <row r="61" spans="1:6" x14ac:dyDescent="0.25">
      <c r="A61" s="290" t="s">
        <v>57</v>
      </c>
      <c r="B61" s="232"/>
      <c r="C61" s="232"/>
      <c r="D61" s="228"/>
      <c r="E61" s="66">
        <v>0.08</v>
      </c>
      <c r="F61" s="58">
        <f>+F59*E61</f>
        <v>1400</v>
      </c>
    </row>
    <row r="62" spans="1:6" x14ac:dyDescent="0.25">
      <c r="A62" s="246" t="s">
        <v>58</v>
      </c>
      <c r="B62" s="232"/>
      <c r="C62" s="232"/>
      <c r="D62" s="232"/>
      <c r="E62" s="228"/>
      <c r="F62" s="67">
        <f>+F59+F61</f>
        <v>18900</v>
      </c>
    </row>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sheetData>
  <mergeCells count="39">
    <mergeCell ref="A2:F2"/>
    <mergeCell ref="A3:D4"/>
    <mergeCell ref="A1:F1"/>
    <mergeCell ref="A17:E17"/>
    <mergeCell ref="A18:E18"/>
    <mergeCell ref="A19:D19"/>
    <mergeCell ref="A20:E20"/>
    <mergeCell ref="A23:F23"/>
    <mergeCell ref="A11:E11"/>
    <mergeCell ref="A12:D12"/>
    <mergeCell ref="A13:E13"/>
    <mergeCell ref="A14:E14"/>
    <mergeCell ref="A15:E15"/>
    <mergeCell ref="A16:E16"/>
    <mergeCell ref="A24:F24"/>
    <mergeCell ref="A25:D26"/>
    <mergeCell ref="A40:E40"/>
    <mergeCell ref="A41:E41"/>
    <mergeCell ref="A42:D42"/>
    <mergeCell ref="A43:E43"/>
    <mergeCell ref="A46:F46"/>
    <mergeCell ref="A34:E34"/>
    <mergeCell ref="A35:D35"/>
    <mergeCell ref="A36:E36"/>
    <mergeCell ref="A37:E37"/>
    <mergeCell ref="A38:E38"/>
    <mergeCell ref="A39:E39"/>
    <mergeCell ref="A47:F47"/>
    <mergeCell ref="A48:D49"/>
    <mergeCell ref="A59:E59"/>
    <mergeCell ref="A60:E60"/>
    <mergeCell ref="A61:D61"/>
    <mergeCell ref="A62:E62"/>
    <mergeCell ref="A53:E53"/>
    <mergeCell ref="A54:D54"/>
    <mergeCell ref="A55:E55"/>
    <mergeCell ref="A56:E56"/>
    <mergeCell ref="A57:E57"/>
    <mergeCell ref="A58:E58"/>
  </mergeCells>
  <hyperlinks>
    <hyperlink ref="H2" location="'LISTA MAESTRA'!A1" display="LISTA MAESTRA" xr:uid="{CEC3774E-9272-4C8E-A4E0-FF6579D5558C}"/>
    <hyperlink ref="I2" location="'RECETA BASE'!A1" display="'RECETA BASE'" xr:uid="{A58D8449-C91A-4BC1-B5E8-851C1697AB25}"/>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BDDAF-805B-4FCE-A2F2-ABED7882DC85}">
  <sheetPr>
    <tabColor rgb="FF7030A0"/>
  </sheetPr>
  <dimension ref="A1:I767"/>
  <sheetViews>
    <sheetView topLeftCell="A41" workbookViewId="0">
      <selection activeCell="F58" sqref="F58"/>
    </sheetView>
  </sheetViews>
  <sheetFormatPr baseColWidth="10" defaultColWidth="14.42578125" defaultRowHeight="15" customHeight="1" x14ac:dyDescent="0.25"/>
  <cols>
    <col min="1" max="1" width="10.7109375" customWidth="1"/>
    <col min="2" max="2" width="29.7109375" customWidth="1"/>
    <col min="3" max="4" width="10.7109375" customWidth="1"/>
    <col min="5" max="5" width="13" customWidth="1"/>
    <col min="6" max="6" width="10.7109375" customWidth="1"/>
    <col min="7" max="7" width="4.42578125" customWidth="1"/>
    <col min="8" max="8" width="14.5703125" customWidth="1"/>
    <col min="9" max="9" width="13.28515625" customWidth="1"/>
    <col min="10" max="14" width="10.7109375" customWidth="1"/>
    <col min="15" max="15" width="4.28515625" customWidth="1"/>
    <col min="16" max="19" width="10.7109375" customWidth="1"/>
  </cols>
  <sheetData>
    <row r="1" spans="1:9" ht="21" customHeight="1" thickBot="1" x14ac:dyDescent="0.3">
      <c r="A1" s="252" t="s">
        <v>196</v>
      </c>
      <c r="B1" s="264"/>
      <c r="C1" s="264"/>
      <c r="D1" s="264"/>
      <c r="E1" s="264"/>
      <c r="F1" s="265"/>
    </row>
    <row r="2" spans="1:9" x14ac:dyDescent="0.25">
      <c r="A2" s="261" t="s">
        <v>178</v>
      </c>
      <c r="B2" s="262"/>
      <c r="C2" s="262"/>
      <c r="D2" s="262"/>
      <c r="E2" s="262"/>
      <c r="F2" s="263"/>
      <c r="H2" s="38" t="s">
        <v>44</v>
      </c>
      <c r="I2" s="60" t="s">
        <v>52</v>
      </c>
    </row>
    <row r="3" spans="1:9" x14ac:dyDescent="0.25">
      <c r="A3" s="286" t="s">
        <v>59</v>
      </c>
      <c r="B3" s="287"/>
      <c r="C3" s="287"/>
      <c r="D3" s="225"/>
      <c r="E3" s="26" t="s">
        <v>49</v>
      </c>
      <c r="F3" s="27">
        <v>9</v>
      </c>
    </row>
    <row r="4" spans="1:9" x14ac:dyDescent="0.25">
      <c r="A4" s="215"/>
      <c r="B4" s="288"/>
      <c r="C4" s="288"/>
      <c r="D4" s="226"/>
      <c r="E4" s="28" t="s">
        <v>37</v>
      </c>
      <c r="F4" s="29">
        <v>1</v>
      </c>
    </row>
    <row r="5" spans="1:9" x14ac:dyDescent="0.25">
      <c r="A5" s="43" t="s">
        <v>38</v>
      </c>
      <c r="B5" s="43" t="s">
        <v>39</v>
      </c>
      <c r="C5" s="43" t="s">
        <v>40</v>
      </c>
      <c r="D5" s="44" t="s">
        <v>41</v>
      </c>
      <c r="E5" s="45" t="s">
        <v>42</v>
      </c>
      <c r="F5" s="46" t="s">
        <v>43</v>
      </c>
    </row>
    <row r="6" spans="1:9" x14ac:dyDescent="0.25">
      <c r="A6" s="47"/>
      <c r="B6" s="70" t="s">
        <v>197</v>
      </c>
      <c r="C6" s="74" t="s">
        <v>198</v>
      </c>
      <c r="D6" s="50">
        <v>1</v>
      </c>
      <c r="E6" s="51">
        <f>+'RECETA BASE'!F107</f>
        <v>4971.8239999999996</v>
      </c>
      <c r="F6" s="52">
        <f>+E6*D6</f>
        <v>4971.8239999999996</v>
      </c>
    </row>
    <row r="7" spans="1:9" x14ac:dyDescent="0.25">
      <c r="A7" s="47"/>
      <c r="B7" s="70" t="s">
        <v>181</v>
      </c>
      <c r="C7" s="74" t="s">
        <v>198</v>
      </c>
      <c r="D7" s="50">
        <v>1</v>
      </c>
      <c r="E7" s="51">
        <f>+'RECETA BASE'!F252</f>
        <v>805.54905643738971</v>
      </c>
      <c r="F7" s="52">
        <f t="shared" ref="F7:F8" si="0">+E7*D7</f>
        <v>805.54905643738971</v>
      </c>
    </row>
    <row r="8" spans="1:9" x14ac:dyDescent="0.25">
      <c r="A8" s="47"/>
      <c r="B8" s="70" t="s">
        <v>257</v>
      </c>
      <c r="C8" s="74" t="s">
        <v>9</v>
      </c>
      <c r="D8" s="50">
        <v>100</v>
      </c>
      <c r="E8" s="51">
        <f>+'LISTA MAESTRA'!D74</f>
        <v>23.4</v>
      </c>
      <c r="F8" s="52">
        <f t="shared" si="0"/>
        <v>2340</v>
      </c>
    </row>
    <row r="9" spans="1:9" x14ac:dyDescent="0.25">
      <c r="A9" s="47"/>
      <c r="B9" s="70"/>
      <c r="C9" s="74"/>
      <c r="D9" s="50"/>
      <c r="E9" s="51"/>
      <c r="F9" s="52"/>
    </row>
    <row r="10" spans="1:9" x14ac:dyDescent="0.25">
      <c r="A10" s="290" t="s">
        <v>45</v>
      </c>
      <c r="B10" s="232"/>
      <c r="C10" s="232"/>
      <c r="D10" s="232"/>
      <c r="E10" s="228"/>
      <c r="F10" s="56">
        <f>SUM(F6:F9)</f>
        <v>8117.3730564373891</v>
      </c>
    </row>
    <row r="11" spans="1:9" x14ac:dyDescent="0.25">
      <c r="A11" s="246" t="s">
        <v>46</v>
      </c>
      <c r="B11" s="232"/>
      <c r="C11" s="232"/>
      <c r="D11" s="228"/>
      <c r="E11" s="40">
        <v>0</v>
      </c>
      <c r="F11" s="57">
        <f>+F10*E11</f>
        <v>0</v>
      </c>
    </row>
    <row r="12" spans="1:9" x14ac:dyDescent="0.25">
      <c r="A12" s="290" t="s">
        <v>50</v>
      </c>
      <c r="B12" s="232"/>
      <c r="C12" s="232"/>
      <c r="D12" s="232"/>
      <c r="E12" s="228"/>
      <c r="F12" s="58">
        <f>+F10+F11</f>
        <v>8117.3730564373891</v>
      </c>
    </row>
    <row r="13" spans="1:9" x14ac:dyDescent="0.25">
      <c r="A13" s="246" t="s">
        <v>51</v>
      </c>
      <c r="B13" s="232"/>
      <c r="C13" s="232"/>
      <c r="D13" s="232"/>
      <c r="E13" s="228"/>
      <c r="F13" s="59">
        <f>+F12/F4</f>
        <v>8117.3730564373891</v>
      </c>
    </row>
    <row r="14" spans="1:9" x14ac:dyDescent="0.25">
      <c r="A14" s="290" t="s">
        <v>53</v>
      </c>
      <c r="B14" s="232"/>
      <c r="C14" s="232"/>
      <c r="D14" s="232"/>
      <c r="E14" s="228"/>
      <c r="F14" s="61">
        <v>0.35</v>
      </c>
    </row>
    <row r="15" spans="1:9" x14ac:dyDescent="0.25">
      <c r="A15" s="246" t="s">
        <v>54</v>
      </c>
      <c r="B15" s="232"/>
      <c r="C15" s="232"/>
      <c r="D15" s="232"/>
      <c r="E15" s="228"/>
      <c r="F15" s="57">
        <f>+F13/F14</f>
        <v>23192.49444696397</v>
      </c>
    </row>
    <row r="16" spans="1:9" x14ac:dyDescent="0.25">
      <c r="A16" s="290" t="s">
        <v>55</v>
      </c>
      <c r="B16" s="232"/>
      <c r="C16" s="232"/>
      <c r="D16" s="232"/>
      <c r="E16" s="228"/>
      <c r="F16" s="56">
        <f>ROUNDUP(F15,-2)</f>
        <v>23200</v>
      </c>
    </row>
    <row r="17" spans="1:6" x14ac:dyDescent="0.25">
      <c r="A17" s="293" t="s">
        <v>56</v>
      </c>
      <c r="B17" s="232"/>
      <c r="C17" s="232"/>
      <c r="D17" s="232"/>
      <c r="E17" s="228"/>
      <c r="F17" s="65">
        <f>+F13/F16</f>
        <v>0.34988676967402538</v>
      </c>
    </row>
    <row r="18" spans="1:6" ht="15.75" customHeight="1" x14ac:dyDescent="0.25">
      <c r="A18" s="290" t="s">
        <v>57</v>
      </c>
      <c r="B18" s="232"/>
      <c r="C18" s="232"/>
      <c r="D18" s="228"/>
      <c r="E18" s="66">
        <v>0.08</v>
      </c>
      <c r="F18" s="58">
        <f>+F16*E18</f>
        <v>1856</v>
      </c>
    </row>
    <row r="19" spans="1:6" ht="15.75" customHeight="1" x14ac:dyDescent="0.25">
      <c r="A19" s="246" t="s">
        <v>58</v>
      </c>
      <c r="B19" s="232"/>
      <c r="C19" s="232"/>
      <c r="D19" s="232"/>
      <c r="E19" s="228"/>
      <c r="F19" s="67">
        <f>+F16+F18</f>
        <v>25056</v>
      </c>
    </row>
    <row r="20" spans="1:6" ht="15.75" customHeight="1" x14ac:dyDescent="0.25"/>
    <row r="21" spans="1:6" ht="15.75" customHeight="1" thickBot="1" x14ac:dyDescent="0.3"/>
    <row r="22" spans="1:6" ht="21" customHeight="1" thickBot="1" x14ac:dyDescent="0.3">
      <c r="A22" s="252" t="s">
        <v>200</v>
      </c>
      <c r="B22" s="264"/>
      <c r="C22" s="264"/>
      <c r="D22" s="264"/>
      <c r="E22" s="264"/>
      <c r="F22" s="265"/>
    </row>
    <row r="23" spans="1:6" x14ac:dyDescent="0.25">
      <c r="A23" s="261" t="s">
        <v>178</v>
      </c>
      <c r="B23" s="262"/>
      <c r="C23" s="262"/>
      <c r="D23" s="262"/>
      <c r="E23" s="262"/>
      <c r="F23" s="263"/>
    </row>
    <row r="24" spans="1:6" x14ac:dyDescent="0.25">
      <c r="A24" s="286" t="s">
        <v>59</v>
      </c>
      <c r="B24" s="287"/>
      <c r="C24" s="287"/>
      <c r="D24" s="225"/>
      <c r="E24" s="26" t="s">
        <v>49</v>
      </c>
      <c r="F24" s="27">
        <v>10</v>
      </c>
    </row>
    <row r="25" spans="1:6" x14ac:dyDescent="0.25">
      <c r="A25" s="215"/>
      <c r="B25" s="288"/>
      <c r="C25" s="288"/>
      <c r="D25" s="226"/>
      <c r="E25" s="28" t="s">
        <v>37</v>
      </c>
      <c r="F25" s="29">
        <v>1</v>
      </c>
    </row>
    <row r="26" spans="1:6" x14ac:dyDescent="0.25">
      <c r="A26" s="43" t="s">
        <v>38</v>
      </c>
      <c r="B26" s="43" t="s">
        <v>39</v>
      </c>
      <c r="C26" s="43" t="s">
        <v>40</v>
      </c>
      <c r="D26" s="44" t="s">
        <v>41</v>
      </c>
      <c r="E26" s="45" t="s">
        <v>42</v>
      </c>
      <c r="F26" s="46" t="s">
        <v>43</v>
      </c>
    </row>
    <row r="27" spans="1:6" x14ac:dyDescent="0.25">
      <c r="A27" s="47"/>
      <c r="B27" s="70" t="s">
        <v>415</v>
      </c>
      <c r="C27" s="74" t="s">
        <v>195</v>
      </c>
      <c r="D27" s="50">
        <v>3</v>
      </c>
      <c r="E27" s="51">
        <f>+'RECETA BASE'!F128</f>
        <v>1305.9666666666667</v>
      </c>
      <c r="F27" s="52">
        <f t="shared" ref="F27:F28" si="1">E27*D27</f>
        <v>3917.9</v>
      </c>
    </row>
    <row r="28" spans="1:6" x14ac:dyDescent="0.25">
      <c r="A28" s="47"/>
      <c r="B28" s="70" t="s">
        <v>203</v>
      </c>
      <c r="C28" s="74" t="s">
        <v>9</v>
      </c>
      <c r="D28" s="50">
        <v>20</v>
      </c>
      <c r="E28" s="51">
        <f>+'LISTA MAESTRA'!D113</f>
        <v>15.06</v>
      </c>
      <c r="F28" s="52">
        <f t="shared" si="1"/>
        <v>301.2</v>
      </c>
    </row>
    <row r="29" spans="1:6" x14ac:dyDescent="0.25">
      <c r="A29" s="47"/>
      <c r="B29" s="70"/>
      <c r="C29" s="74"/>
      <c r="D29" s="50"/>
      <c r="E29" s="51"/>
      <c r="F29" s="52"/>
    </row>
    <row r="30" spans="1:6" x14ac:dyDescent="0.25">
      <c r="A30" s="47"/>
      <c r="B30" s="70"/>
      <c r="C30" s="74"/>
      <c r="D30" s="50"/>
      <c r="E30" s="51"/>
      <c r="F30" s="52">
        <v>0</v>
      </c>
    </row>
    <row r="31" spans="1:6" x14ac:dyDescent="0.25">
      <c r="A31" s="290" t="s">
        <v>45</v>
      </c>
      <c r="B31" s="232"/>
      <c r="C31" s="232"/>
      <c r="D31" s="232"/>
      <c r="E31" s="228"/>
      <c r="F31" s="56">
        <f>SUM(F27:F30)</f>
        <v>4219.1000000000004</v>
      </c>
    </row>
    <row r="32" spans="1:6" x14ac:dyDescent="0.25">
      <c r="A32" s="246" t="s">
        <v>46</v>
      </c>
      <c r="B32" s="232"/>
      <c r="C32" s="232"/>
      <c r="D32" s="228"/>
      <c r="E32" s="40">
        <v>0</v>
      </c>
      <c r="F32" s="57">
        <f>+F31*E32</f>
        <v>0</v>
      </c>
    </row>
    <row r="33" spans="1:6" x14ac:dyDescent="0.25">
      <c r="A33" s="290" t="s">
        <v>50</v>
      </c>
      <c r="B33" s="232"/>
      <c r="C33" s="232"/>
      <c r="D33" s="232"/>
      <c r="E33" s="228"/>
      <c r="F33" s="58">
        <f>+F31+F32</f>
        <v>4219.1000000000004</v>
      </c>
    </row>
    <row r="34" spans="1:6" x14ac:dyDescent="0.25">
      <c r="A34" s="246" t="s">
        <v>51</v>
      </c>
      <c r="B34" s="232"/>
      <c r="C34" s="232"/>
      <c r="D34" s="232"/>
      <c r="E34" s="228"/>
      <c r="F34" s="59">
        <f>+F33/F25</f>
        <v>4219.1000000000004</v>
      </c>
    </row>
    <row r="35" spans="1:6" x14ac:dyDescent="0.25">
      <c r="A35" s="290" t="s">
        <v>53</v>
      </c>
      <c r="B35" s="232"/>
      <c r="C35" s="232"/>
      <c r="D35" s="232"/>
      <c r="E35" s="228"/>
      <c r="F35" s="61">
        <v>0.35</v>
      </c>
    </row>
    <row r="36" spans="1:6" x14ac:dyDescent="0.25">
      <c r="A36" s="246" t="s">
        <v>54</v>
      </c>
      <c r="B36" s="232"/>
      <c r="C36" s="232"/>
      <c r="D36" s="232"/>
      <c r="E36" s="228"/>
      <c r="F36" s="57">
        <f>+F34/F35</f>
        <v>12054.571428571431</v>
      </c>
    </row>
    <row r="37" spans="1:6" x14ac:dyDescent="0.25">
      <c r="A37" s="290" t="s">
        <v>55</v>
      </c>
      <c r="B37" s="232"/>
      <c r="C37" s="232"/>
      <c r="D37" s="232"/>
      <c r="E37" s="228"/>
      <c r="F37" s="56">
        <f>ROUNDUP(F36,-2)</f>
        <v>12100</v>
      </c>
    </row>
    <row r="38" spans="1:6" x14ac:dyDescent="0.25">
      <c r="A38" s="293" t="s">
        <v>56</v>
      </c>
      <c r="B38" s="232"/>
      <c r="C38" s="232"/>
      <c r="D38" s="232"/>
      <c r="E38" s="228"/>
      <c r="F38" s="65">
        <f>+F34/F37</f>
        <v>0.34868595041322314</v>
      </c>
    </row>
    <row r="39" spans="1:6" ht="15.75" customHeight="1" x14ac:dyDescent="0.25">
      <c r="A39" s="290" t="s">
        <v>57</v>
      </c>
      <c r="B39" s="232"/>
      <c r="C39" s="232"/>
      <c r="D39" s="228"/>
      <c r="E39" s="66">
        <v>0.08</v>
      </c>
      <c r="F39" s="58">
        <f>+F37*E39</f>
        <v>968</v>
      </c>
    </row>
    <row r="40" spans="1:6" ht="15.75" customHeight="1" x14ac:dyDescent="0.25">
      <c r="A40" s="246" t="s">
        <v>58</v>
      </c>
      <c r="B40" s="232"/>
      <c r="C40" s="232"/>
      <c r="D40" s="232"/>
      <c r="E40" s="228"/>
      <c r="F40" s="67">
        <f>+F37+F39</f>
        <v>13068</v>
      </c>
    </row>
    <row r="41" spans="1:6" ht="15.75" customHeight="1" x14ac:dyDescent="0.25"/>
    <row r="42" spans="1:6" ht="15.75" customHeight="1" thickBot="1" x14ac:dyDescent="0.3"/>
    <row r="43" spans="1:6" ht="21" customHeight="1" thickBot="1" x14ac:dyDescent="0.3">
      <c r="A43" s="252" t="s">
        <v>107</v>
      </c>
      <c r="B43" s="264"/>
      <c r="C43" s="264"/>
      <c r="D43" s="264"/>
      <c r="E43" s="264"/>
      <c r="F43" s="265"/>
    </row>
    <row r="44" spans="1:6" x14ac:dyDescent="0.25">
      <c r="A44" s="261" t="s">
        <v>178</v>
      </c>
      <c r="B44" s="262"/>
      <c r="C44" s="262"/>
      <c r="D44" s="262"/>
      <c r="E44" s="262"/>
      <c r="F44" s="263"/>
    </row>
    <row r="45" spans="1:6" x14ac:dyDescent="0.25">
      <c r="A45" s="286" t="s">
        <v>59</v>
      </c>
      <c r="B45" s="287"/>
      <c r="C45" s="287"/>
      <c r="D45" s="225"/>
      <c r="E45" s="26" t="s">
        <v>49</v>
      </c>
      <c r="F45" s="27">
        <v>11</v>
      </c>
    </row>
    <row r="46" spans="1:6" x14ac:dyDescent="0.25">
      <c r="A46" s="215"/>
      <c r="B46" s="288"/>
      <c r="C46" s="288"/>
      <c r="D46" s="226"/>
      <c r="E46" s="28" t="s">
        <v>37</v>
      </c>
      <c r="F46" s="29">
        <v>1</v>
      </c>
    </row>
    <row r="47" spans="1:6" x14ac:dyDescent="0.25">
      <c r="A47" s="43" t="s">
        <v>38</v>
      </c>
      <c r="B47" s="43" t="s">
        <v>39</v>
      </c>
      <c r="C47" s="43" t="s">
        <v>40</v>
      </c>
      <c r="D47" s="44" t="s">
        <v>41</v>
      </c>
      <c r="E47" s="45" t="s">
        <v>42</v>
      </c>
      <c r="F47" s="46" t="s">
        <v>43</v>
      </c>
    </row>
    <row r="48" spans="1:6" x14ac:dyDescent="0.25">
      <c r="A48" s="47"/>
      <c r="B48" s="70" t="s">
        <v>289</v>
      </c>
      <c r="C48" s="74" t="s">
        <v>9</v>
      </c>
      <c r="D48" s="50">
        <v>500</v>
      </c>
      <c r="E48" s="168">
        <f>+'LISTA MAESTRA'!D23</f>
        <v>28</v>
      </c>
      <c r="F48" s="169">
        <f>+E48*D48</f>
        <v>14000</v>
      </c>
    </row>
    <row r="49" spans="1:6" x14ac:dyDescent="0.25">
      <c r="A49" s="47"/>
      <c r="B49" s="70" t="s">
        <v>204</v>
      </c>
      <c r="C49" s="74" t="s">
        <v>179</v>
      </c>
      <c r="D49" s="50">
        <v>1</v>
      </c>
      <c r="E49" s="168">
        <f>+'RECETA BASE'!F142</f>
        <v>2184.0239999999999</v>
      </c>
      <c r="F49" s="169">
        <f t="shared" ref="F49:F56" si="2">+E49*D49</f>
        <v>2184.0239999999999</v>
      </c>
    </row>
    <row r="50" spans="1:6" x14ac:dyDescent="0.25">
      <c r="A50" s="47"/>
      <c r="B50" s="70" t="s">
        <v>205</v>
      </c>
      <c r="C50" s="74" t="s">
        <v>179</v>
      </c>
      <c r="D50" s="50">
        <v>1</v>
      </c>
      <c r="E50" s="168"/>
      <c r="F50" s="169">
        <f t="shared" si="2"/>
        <v>0</v>
      </c>
    </row>
    <row r="51" spans="1:6" x14ac:dyDescent="0.25">
      <c r="A51" s="47"/>
      <c r="B51" s="70" t="s">
        <v>237</v>
      </c>
      <c r="C51" s="74" t="s">
        <v>9</v>
      </c>
      <c r="D51" s="50">
        <v>100</v>
      </c>
      <c r="E51" s="168">
        <f>+'LISTA MAESTRA'!D37</f>
        <v>12</v>
      </c>
      <c r="F51" s="169">
        <f t="shared" si="2"/>
        <v>1200</v>
      </c>
    </row>
    <row r="52" spans="1:6" x14ac:dyDescent="0.25">
      <c r="A52" s="47"/>
      <c r="B52" s="70" t="s">
        <v>299</v>
      </c>
      <c r="C52" s="74" t="s">
        <v>9</v>
      </c>
      <c r="D52" s="50">
        <v>50</v>
      </c>
      <c r="E52" s="168">
        <f>+'LISTA MAESTRA'!D49</f>
        <v>4.5999999999999996</v>
      </c>
      <c r="F52" s="169">
        <f t="shared" si="2"/>
        <v>229.99999999999997</v>
      </c>
    </row>
    <row r="53" spans="1:6" x14ac:dyDescent="0.25">
      <c r="A53" s="47"/>
      <c r="B53" s="70" t="s">
        <v>249</v>
      </c>
      <c r="C53" s="74" t="s">
        <v>9</v>
      </c>
      <c r="D53" s="50">
        <v>50</v>
      </c>
      <c r="E53" s="168">
        <f>+'LISTA MAESTRA'!D60</f>
        <v>10.6</v>
      </c>
      <c r="F53" s="169">
        <f t="shared" si="2"/>
        <v>530</v>
      </c>
    </row>
    <row r="54" spans="1:6" x14ac:dyDescent="0.25">
      <c r="A54" s="47"/>
      <c r="B54" s="70" t="s">
        <v>247</v>
      </c>
      <c r="C54" s="74" t="s">
        <v>9</v>
      </c>
      <c r="D54" s="50">
        <v>10</v>
      </c>
      <c r="E54" s="168">
        <f>+'LISTA MAESTRA'!D62</f>
        <v>3.4</v>
      </c>
      <c r="F54" s="169">
        <f t="shared" si="2"/>
        <v>34</v>
      </c>
    </row>
    <row r="55" spans="1:6" x14ac:dyDescent="0.25">
      <c r="A55" s="47"/>
      <c r="B55" s="70" t="s">
        <v>277</v>
      </c>
      <c r="C55" s="74" t="s">
        <v>9</v>
      </c>
      <c r="D55" s="50">
        <v>100</v>
      </c>
      <c r="E55" s="168">
        <f>+'LISTA MAESTRA'!D47</f>
        <v>5.7</v>
      </c>
      <c r="F55" s="169">
        <f t="shared" si="2"/>
        <v>570</v>
      </c>
    </row>
    <row r="56" spans="1:6" x14ac:dyDescent="0.25">
      <c r="A56" s="47"/>
      <c r="B56" s="70" t="s">
        <v>417</v>
      </c>
      <c r="C56" s="74" t="s">
        <v>179</v>
      </c>
      <c r="D56" s="50">
        <v>1</v>
      </c>
      <c r="E56" s="168">
        <f>+'RECETA BASE'!F272</f>
        <v>1520.4375</v>
      </c>
      <c r="F56" s="169">
        <f t="shared" si="2"/>
        <v>1520.4375</v>
      </c>
    </row>
    <row r="57" spans="1:6" x14ac:dyDescent="0.25">
      <c r="A57" s="55"/>
      <c r="B57" s="48"/>
      <c r="C57" s="49"/>
      <c r="D57" s="50"/>
      <c r="E57" s="50"/>
      <c r="F57" s="52"/>
    </row>
    <row r="58" spans="1:6" x14ac:dyDescent="0.25">
      <c r="A58" s="290" t="s">
        <v>45</v>
      </c>
      <c r="B58" s="232"/>
      <c r="C58" s="232"/>
      <c r="D58" s="232"/>
      <c r="E58" s="228"/>
      <c r="F58" s="56">
        <f>SUM(F48:F57)</f>
        <v>20268.461499999998</v>
      </c>
    </row>
    <row r="59" spans="1:6" x14ac:dyDescent="0.25">
      <c r="A59" s="246" t="s">
        <v>46</v>
      </c>
      <c r="B59" s="232"/>
      <c r="C59" s="232"/>
      <c r="D59" s="228"/>
      <c r="E59" s="40">
        <v>0</v>
      </c>
      <c r="F59" s="57">
        <f>+F58*E59</f>
        <v>0</v>
      </c>
    </row>
    <row r="60" spans="1:6" x14ac:dyDescent="0.25">
      <c r="A60" s="290" t="s">
        <v>50</v>
      </c>
      <c r="B60" s="232"/>
      <c r="C60" s="232"/>
      <c r="D60" s="232"/>
      <c r="E60" s="228"/>
      <c r="F60" s="58">
        <f>+F58+F59</f>
        <v>20268.461499999998</v>
      </c>
    </row>
    <row r="61" spans="1:6" x14ac:dyDescent="0.25">
      <c r="A61" s="246" t="s">
        <v>51</v>
      </c>
      <c r="B61" s="232"/>
      <c r="C61" s="232"/>
      <c r="D61" s="232"/>
      <c r="E61" s="228"/>
      <c r="F61" s="59">
        <f>+F60/F46</f>
        <v>20268.461499999998</v>
      </c>
    </row>
    <row r="62" spans="1:6" x14ac:dyDescent="0.25">
      <c r="A62" s="290" t="s">
        <v>53</v>
      </c>
      <c r="B62" s="232"/>
      <c r="C62" s="232"/>
      <c r="D62" s="232"/>
      <c r="E62" s="228"/>
      <c r="F62" s="61">
        <v>0.3</v>
      </c>
    </row>
    <row r="63" spans="1:6" x14ac:dyDescent="0.25">
      <c r="A63" s="246" t="s">
        <v>54</v>
      </c>
      <c r="B63" s="232"/>
      <c r="C63" s="232"/>
      <c r="D63" s="232"/>
      <c r="E63" s="228"/>
      <c r="F63" s="57">
        <f>+F61/F62</f>
        <v>67561.53833333333</v>
      </c>
    </row>
    <row r="64" spans="1:6" x14ac:dyDescent="0.25">
      <c r="A64" s="290" t="s">
        <v>55</v>
      </c>
      <c r="B64" s="232"/>
      <c r="C64" s="232"/>
      <c r="D64" s="232"/>
      <c r="E64" s="228"/>
      <c r="F64" s="56">
        <f>ROUNDUP(F63,-2)</f>
        <v>67600</v>
      </c>
    </row>
    <row r="65" spans="1:6" ht="15.75" customHeight="1" x14ac:dyDescent="0.25">
      <c r="A65" s="293" t="s">
        <v>56</v>
      </c>
      <c r="B65" s="232"/>
      <c r="C65" s="232"/>
      <c r="D65" s="232"/>
      <c r="E65" s="228"/>
      <c r="F65" s="65">
        <f>+F61/F64</f>
        <v>0.29982931213017749</v>
      </c>
    </row>
    <row r="66" spans="1:6" ht="15.75" customHeight="1" x14ac:dyDescent="0.25">
      <c r="A66" s="290" t="s">
        <v>57</v>
      </c>
      <c r="B66" s="232"/>
      <c r="C66" s="232"/>
      <c r="D66" s="228"/>
      <c r="E66" s="66">
        <v>0.08</v>
      </c>
      <c r="F66" s="58">
        <f>+F64*E66</f>
        <v>5408</v>
      </c>
    </row>
    <row r="67" spans="1:6" ht="15.75" customHeight="1" x14ac:dyDescent="0.25">
      <c r="A67" s="246" t="s">
        <v>58</v>
      </c>
      <c r="B67" s="232"/>
      <c r="C67" s="232"/>
      <c r="D67" s="232"/>
      <c r="E67" s="228"/>
      <c r="F67" s="67">
        <f>+F64+F66</f>
        <v>73008</v>
      </c>
    </row>
    <row r="68" spans="1:6" ht="15.75" customHeight="1" x14ac:dyDescent="0.25"/>
    <row r="69" spans="1:6" ht="15.75" customHeight="1" x14ac:dyDescent="0.25"/>
    <row r="70" spans="1:6" ht="15.75" customHeight="1" x14ac:dyDescent="0.25"/>
    <row r="71" spans="1:6" ht="15.75" customHeight="1" x14ac:dyDescent="0.25"/>
    <row r="72" spans="1:6" ht="15.75" customHeight="1" x14ac:dyDescent="0.25"/>
    <row r="73" spans="1:6" ht="15.75" customHeight="1" x14ac:dyDescent="0.25"/>
    <row r="74" spans="1:6" ht="15.75" customHeight="1" x14ac:dyDescent="0.25"/>
    <row r="75" spans="1:6" ht="15.75" customHeight="1" x14ac:dyDescent="0.25"/>
    <row r="76" spans="1:6" ht="15.75" customHeight="1" x14ac:dyDescent="0.25"/>
    <row r="77" spans="1:6" ht="15.75" customHeight="1" x14ac:dyDescent="0.25"/>
    <row r="78" spans="1:6" ht="15.75" customHeight="1" x14ac:dyDescent="0.25"/>
    <row r="79" spans="1:6" ht="15.75" customHeight="1" x14ac:dyDescent="0.25"/>
    <row r="80" spans="1:6"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sheetData>
  <mergeCells count="39">
    <mergeCell ref="A2:F2"/>
    <mergeCell ref="A3:D4"/>
    <mergeCell ref="A1:F1"/>
    <mergeCell ref="A16:E16"/>
    <mergeCell ref="A17:E17"/>
    <mergeCell ref="A18:D18"/>
    <mergeCell ref="A19:E19"/>
    <mergeCell ref="A22:F22"/>
    <mergeCell ref="A10:E10"/>
    <mergeCell ref="A11:D11"/>
    <mergeCell ref="A12:E12"/>
    <mergeCell ref="A13:E13"/>
    <mergeCell ref="A14:E14"/>
    <mergeCell ref="A15:E15"/>
    <mergeCell ref="A23:F23"/>
    <mergeCell ref="A24:D25"/>
    <mergeCell ref="A37:E37"/>
    <mergeCell ref="A38:E38"/>
    <mergeCell ref="A39:D39"/>
    <mergeCell ref="A40:E40"/>
    <mergeCell ref="A43:F43"/>
    <mergeCell ref="A31:E31"/>
    <mergeCell ref="A32:D32"/>
    <mergeCell ref="A33:E33"/>
    <mergeCell ref="A34:E34"/>
    <mergeCell ref="A35:E35"/>
    <mergeCell ref="A36:E36"/>
    <mergeCell ref="A44:F44"/>
    <mergeCell ref="A45:D46"/>
    <mergeCell ref="A64:E64"/>
    <mergeCell ref="A65:E65"/>
    <mergeCell ref="A66:D66"/>
    <mergeCell ref="A67:E67"/>
    <mergeCell ref="A58:E58"/>
    <mergeCell ref="A59:D59"/>
    <mergeCell ref="A60:E60"/>
    <mergeCell ref="A61:E61"/>
    <mergeCell ref="A62:E62"/>
    <mergeCell ref="A63:E63"/>
  </mergeCells>
  <hyperlinks>
    <hyperlink ref="H2" location="'LISTA MAESTRA'!A1" display="LISTA MAESTRA" xr:uid="{DACFD548-E916-4196-B4AC-DBE504BE1834}"/>
    <hyperlink ref="I2" location="'RECETA BASE'!A1" display="'RECETA BASE'" xr:uid="{AED944B9-6834-42AC-9F71-4293C071C138}"/>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FF706-BFFC-4A5F-BD80-70A00190EC3B}">
  <sheetPr>
    <tabColor rgb="FF7030A0"/>
  </sheetPr>
  <dimension ref="A1:M775"/>
  <sheetViews>
    <sheetView tabSelected="1" topLeftCell="A71" workbookViewId="0">
      <selection activeCell="F78" sqref="F78"/>
    </sheetView>
  </sheetViews>
  <sheetFormatPr baseColWidth="10" defaultColWidth="14.42578125" defaultRowHeight="15" customHeight="1" x14ac:dyDescent="0.25"/>
  <cols>
    <col min="1" max="1" width="10.7109375" customWidth="1"/>
    <col min="2" max="2" width="29.7109375" customWidth="1"/>
    <col min="3" max="4" width="10.7109375" customWidth="1"/>
    <col min="5" max="5" width="13" customWidth="1"/>
    <col min="6" max="6" width="10.7109375" customWidth="1"/>
    <col min="7" max="7" width="4.42578125" customWidth="1"/>
    <col min="8" max="8" width="14.5703125" customWidth="1"/>
    <col min="9" max="9" width="13.28515625" customWidth="1"/>
    <col min="10" max="14" width="10.7109375" customWidth="1"/>
    <col min="15" max="15" width="4.28515625" customWidth="1"/>
    <col min="16" max="19" width="10.7109375" customWidth="1"/>
  </cols>
  <sheetData>
    <row r="1" spans="1:9" ht="21" customHeight="1" thickBot="1" x14ac:dyDescent="0.3">
      <c r="A1" s="252" t="s">
        <v>109</v>
      </c>
      <c r="B1" s="264"/>
      <c r="C1" s="264"/>
      <c r="D1" s="264"/>
      <c r="E1" s="264"/>
      <c r="F1" s="265"/>
    </row>
    <row r="2" spans="1:9" x14ac:dyDescent="0.25">
      <c r="A2" s="261" t="s">
        <v>178</v>
      </c>
      <c r="B2" s="262"/>
      <c r="C2" s="262"/>
      <c r="D2" s="262"/>
      <c r="E2" s="262"/>
      <c r="F2" s="263"/>
      <c r="H2" s="38" t="s">
        <v>44</v>
      </c>
      <c r="I2" s="60" t="s">
        <v>52</v>
      </c>
    </row>
    <row r="3" spans="1:9" x14ac:dyDescent="0.25">
      <c r="A3" s="286" t="s">
        <v>59</v>
      </c>
      <c r="B3" s="287"/>
      <c r="C3" s="287"/>
      <c r="D3" s="225"/>
      <c r="E3" s="26" t="s">
        <v>49</v>
      </c>
      <c r="F3" s="27">
        <v>12</v>
      </c>
    </row>
    <row r="4" spans="1:9" x14ac:dyDescent="0.25">
      <c r="A4" s="215"/>
      <c r="B4" s="288"/>
      <c r="C4" s="288"/>
      <c r="D4" s="226"/>
      <c r="E4" s="28" t="s">
        <v>37</v>
      </c>
      <c r="F4" s="29">
        <v>1</v>
      </c>
    </row>
    <row r="5" spans="1:9" x14ac:dyDescent="0.25">
      <c r="A5" s="43" t="s">
        <v>38</v>
      </c>
      <c r="B5" s="43" t="s">
        <v>39</v>
      </c>
      <c r="C5" s="43" t="s">
        <v>40</v>
      </c>
      <c r="D5" s="44" t="s">
        <v>41</v>
      </c>
      <c r="E5" s="45" t="s">
        <v>42</v>
      </c>
      <c r="F5" s="46" t="s">
        <v>43</v>
      </c>
    </row>
    <row r="6" spans="1:9" x14ac:dyDescent="0.25">
      <c r="A6" s="47"/>
      <c r="B6" s="70" t="s">
        <v>207</v>
      </c>
      <c r="C6" s="74" t="s">
        <v>179</v>
      </c>
      <c r="D6" s="50">
        <v>2</v>
      </c>
      <c r="E6" s="168">
        <f>+'RECETA BASE'!F165</f>
        <v>5093.8510123302085</v>
      </c>
      <c r="F6" s="169">
        <f>+E6*D6</f>
        <v>10187.702024660417</v>
      </c>
    </row>
    <row r="7" spans="1:9" x14ac:dyDescent="0.25">
      <c r="A7" s="47"/>
      <c r="B7" s="70" t="s">
        <v>208</v>
      </c>
      <c r="C7" s="74" t="s">
        <v>179</v>
      </c>
      <c r="D7" s="50">
        <v>1</v>
      </c>
      <c r="E7" s="168">
        <f>+'RECETA BASE'!F331</f>
        <v>1020.515</v>
      </c>
      <c r="F7" s="169">
        <f t="shared" ref="F7:F10" si="0">+E7*D7</f>
        <v>1020.515</v>
      </c>
    </row>
    <row r="8" spans="1:9" x14ac:dyDescent="0.25">
      <c r="A8" s="47"/>
      <c r="B8" s="70" t="s">
        <v>209</v>
      </c>
      <c r="C8" s="74" t="s">
        <v>179</v>
      </c>
      <c r="D8" s="50">
        <v>1</v>
      </c>
      <c r="E8" s="168">
        <f>+'RECETA BASE'!F142</f>
        <v>2184.0239999999999</v>
      </c>
      <c r="F8" s="169">
        <f t="shared" si="0"/>
        <v>2184.0239999999999</v>
      </c>
    </row>
    <row r="9" spans="1:9" x14ac:dyDescent="0.25">
      <c r="A9" s="47"/>
      <c r="B9" s="70" t="s">
        <v>326</v>
      </c>
      <c r="C9" s="74" t="s">
        <v>179</v>
      </c>
      <c r="D9" s="50">
        <v>1</v>
      </c>
      <c r="E9" s="168"/>
      <c r="F9" s="169">
        <f t="shared" si="0"/>
        <v>0</v>
      </c>
    </row>
    <row r="10" spans="1:9" x14ac:dyDescent="0.25">
      <c r="A10" s="47"/>
      <c r="B10" s="70" t="s">
        <v>315</v>
      </c>
      <c r="C10" s="74" t="s">
        <v>179</v>
      </c>
      <c r="D10" s="50"/>
      <c r="E10" s="168"/>
      <c r="F10" s="169">
        <f t="shared" si="0"/>
        <v>0</v>
      </c>
    </row>
    <row r="11" spans="1:9" x14ac:dyDescent="0.25">
      <c r="A11" s="53"/>
      <c r="B11" s="71"/>
      <c r="C11" s="74"/>
      <c r="D11" s="54"/>
      <c r="E11" s="52"/>
      <c r="F11" s="52"/>
    </row>
    <row r="12" spans="1:9" x14ac:dyDescent="0.25">
      <c r="A12" s="290" t="s">
        <v>45</v>
      </c>
      <c r="B12" s="232"/>
      <c r="C12" s="232"/>
      <c r="D12" s="232"/>
      <c r="E12" s="228"/>
      <c r="F12" s="56">
        <f>SUM(F6:F11)</f>
        <v>13392.241024660416</v>
      </c>
    </row>
    <row r="13" spans="1:9" x14ac:dyDescent="0.25">
      <c r="A13" s="246" t="s">
        <v>46</v>
      </c>
      <c r="B13" s="232"/>
      <c r="C13" s="232"/>
      <c r="D13" s="228"/>
      <c r="E13" s="40">
        <v>0</v>
      </c>
      <c r="F13" s="57">
        <f>+F12*E13</f>
        <v>0</v>
      </c>
    </row>
    <row r="14" spans="1:9" x14ac:dyDescent="0.25">
      <c r="A14" s="290" t="s">
        <v>50</v>
      </c>
      <c r="B14" s="232"/>
      <c r="C14" s="232"/>
      <c r="D14" s="232"/>
      <c r="E14" s="228"/>
      <c r="F14" s="58">
        <f>+F12+F13</f>
        <v>13392.241024660416</v>
      </c>
    </row>
    <row r="15" spans="1:9" x14ac:dyDescent="0.25">
      <c r="A15" s="246" t="s">
        <v>51</v>
      </c>
      <c r="B15" s="232"/>
      <c r="C15" s="232"/>
      <c r="D15" s="232"/>
      <c r="E15" s="228"/>
      <c r="F15" s="59">
        <f>+F14/F4</f>
        <v>13392.241024660416</v>
      </c>
    </row>
    <row r="16" spans="1:9" x14ac:dyDescent="0.25">
      <c r="A16" s="290" t="s">
        <v>53</v>
      </c>
      <c r="B16" s="232"/>
      <c r="C16" s="232"/>
      <c r="D16" s="232"/>
      <c r="E16" s="228"/>
      <c r="F16" s="61">
        <v>0.35</v>
      </c>
    </row>
    <row r="17" spans="1:13" x14ac:dyDescent="0.25">
      <c r="A17" s="246" t="s">
        <v>54</v>
      </c>
      <c r="B17" s="232"/>
      <c r="C17" s="232"/>
      <c r="D17" s="232"/>
      <c r="E17" s="228"/>
      <c r="F17" s="57">
        <f>+F15/F16</f>
        <v>38263.545784744048</v>
      </c>
    </row>
    <row r="18" spans="1:13" x14ac:dyDescent="0.25">
      <c r="A18" s="290" t="s">
        <v>55</v>
      </c>
      <c r="B18" s="232"/>
      <c r="C18" s="232"/>
      <c r="D18" s="232"/>
      <c r="E18" s="228"/>
      <c r="F18" s="56">
        <f>ROUNDUP(F17,-2)</f>
        <v>38300</v>
      </c>
    </row>
    <row r="19" spans="1:13" x14ac:dyDescent="0.25">
      <c r="A19" s="293" t="s">
        <v>56</v>
      </c>
      <c r="B19" s="232"/>
      <c r="C19" s="232"/>
      <c r="D19" s="232"/>
      <c r="E19" s="228"/>
      <c r="F19" s="65">
        <f>+F15/F18</f>
        <v>0.34966686748460618</v>
      </c>
    </row>
    <row r="20" spans="1:13" ht="15.75" customHeight="1" x14ac:dyDescent="0.25">
      <c r="A20" s="290" t="s">
        <v>57</v>
      </c>
      <c r="B20" s="232"/>
      <c r="C20" s="232"/>
      <c r="D20" s="228"/>
      <c r="E20" s="66">
        <v>0.08</v>
      </c>
      <c r="F20" s="58">
        <f>+F18*E20</f>
        <v>3064</v>
      </c>
    </row>
    <row r="21" spans="1:13" ht="15.75" customHeight="1" x14ac:dyDescent="0.25">
      <c r="A21" s="246" t="s">
        <v>58</v>
      </c>
      <c r="B21" s="232"/>
      <c r="C21" s="232"/>
      <c r="D21" s="232"/>
      <c r="E21" s="228"/>
      <c r="F21" s="67">
        <f>+F18+F20</f>
        <v>41364</v>
      </c>
    </row>
    <row r="22" spans="1:13" ht="15.75" customHeight="1" x14ac:dyDescent="0.25"/>
    <row r="23" spans="1:13" ht="15.75" customHeight="1" thickBot="1" x14ac:dyDescent="0.3"/>
    <row r="24" spans="1:13" ht="21" customHeight="1" thickBot="1" x14ac:dyDescent="0.3">
      <c r="A24" s="252" t="s">
        <v>327</v>
      </c>
      <c r="B24" s="264"/>
      <c r="C24" s="264"/>
      <c r="D24" s="264"/>
      <c r="E24" s="264"/>
      <c r="F24" s="265"/>
    </row>
    <row r="25" spans="1:13" x14ac:dyDescent="0.25">
      <c r="A25" s="261" t="s">
        <v>178</v>
      </c>
      <c r="B25" s="262"/>
      <c r="C25" s="262"/>
      <c r="D25" s="262"/>
      <c r="E25" s="262"/>
      <c r="F25" s="263"/>
    </row>
    <row r="26" spans="1:13" x14ac:dyDescent="0.25">
      <c r="A26" s="286" t="s">
        <v>59</v>
      </c>
      <c r="B26" s="287"/>
      <c r="C26" s="287"/>
      <c r="D26" s="225"/>
      <c r="E26" s="26" t="s">
        <v>49</v>
      </c>
      <c r="F26" s="27">
        <v>13</v>
      </c>
    </row>
    <row r="27" spans="1:13" x14ac:dyDescent="0.25">
      <c r="A27" s="215"/>
      <c r="B27" s="288"/>
      <c r="C27" s="288"/>
      <c r="D27" s="226"/>
      <c r="E27" s="28" t="s">
        <v>37</v>
      </c>
      <c r="F27" s="29">
        <v>1</v>
      </c>
    </row>
    <row r="28" spans="1:13" x14ac:dyDescent="0.25">
      <c r="A28" s="43" t="s">
        <v>38</v>
      </c>
      <c r="B28" s="43" t="s">
        <v>39</v>
      </c>
      <c r="C28" s="43" t="s">
        <v>40</v>
      </c>
      <c r="D28" s="44" t="s">
        <v>41</v>
      </c>
      <c r="E28" s="45" t="s">
        <v>42</v>
      </c>
      <c r="F28" s="46" t="s">
        <v>43</v>
      </c>
    </row>
    <row r="29" spans="1:13" x14ac:dyDescent="0.25">
      <c r="A29" s="47"/>
      <c r="B29" s="139" t="s">
        <v>213</v>
      </c>
      <c r="C29" s="74" t="s">
        <v>9</v>
      </c>
      <c r="D29" s="50">
        <v>400</v>
      </c>
      <c r="E29" s="168">
        <f>+'LISTA MAESTRA'!D30</f>
        <v>23.4</v>
      </c>
      <c r="F29" s="169">
        <f t="shared" ref="F29:F35" si="1">E29*D29</f>
        <v>9360</v>
      </c>
    </row>
    <row r="30" spans="1:13" x14ac:dyDescent="0.25">
      <c r="A30" s="47"/>
      <c r="B30" s="139" t="s">
        <v>210</v>
      </c>
      <c r="C30" s="74" t="s">
        <v>198</v>
      </c>
      <c r="D30" s="50">
        <v>1</v>
      </c>
      <c r="E30" s="168">
        <f>+'RECETA BASE'!F184</f>
        <v>685.4708333333333</v>
      </c>
      <c r="F30" s="169">
        <f t="shared" si="1"/>
        <v>685.4708333333333</v>
      </c>
      <c r="J30">
        <v>24000</v>
      </c>
      <c r="K30">
        <f>+J30/2000</f>
        <v>12</v>
      </c>
      <c r="M30">
        <f>+K30*150</f>
        <v>1800</v>
      </c>
    </row>
    <row r="31" spans="1:13" x14ac:dyDescent="0.25">
      <c r="A31" s="47"/>
      <c r="B31" s="139" t="s">
        <v>209</v>
      </c>
      <c r="C31" s="74" t="s">
        <v>198</v>
      </c>
      <c r="D31" s="50">
        <v>1</v>
      </c>
      <c r="E31" s="168">
        <f>+'RECETA BASE'!F142</f>
        <v>2184.0239999999999</v>
      </c>
      <c r="F31" s="169">
        <f t="shared" si="1"/>
        <v>2184.0239999999999</v>
      </c>
    </row>
    <row r="32" spans="1:13" x14ac:dyDescent="0.25">
      <c r="A32" s="47"/>
      <c r="B32" s="139" t="s">
        <v>388</v>
      </c>
      <c r="C32" s="74" t="s">
        <v>20</v>
      </c>
      <c r="D32" s="50">
        <v>40</v>
      </c>
      <c r="E32" s="168">
        <f>+'LISTA MAESTRA'!D115</f>
        <v>30.666666666666668</v>
      </c>
      <c r="F32" s="169">
        <f t="shared" si="1"/>
        <v>1226.6666666666667</v>
      </c>
    </row>
    <row r="33" spans="1:12" x14ac:dyDescent="0.25">
      <c r="A33" s="72"/>
      <c r="B33" s="140" t="s">
        <v>181</v>
      </c>
      <c r="C33" s="74" t="s">
        <v>179</v>
      </c>
      <c r="D33" s="73">
        <v>1</v>
      </c>
      <c r="E33" s="169">
        <f>+'RECETA BASE'!F252</f>
        <v>805.54905643738971</v>
      </c>
      <c r="F33" s="169">
        <f t="shared" si="1"/>
        <v>805.54905643738971</v>
      </c>
      <c r="L33">
        <f>2000/150</f>
        <v>13.333333333333334</v>
      </c>
    </row>
    <row r="34" spans="1:12" x14ac:dyDescent="0.25">
      <c r="A34" s="72"/>
      <c r="B34" s="140" t="s">
        <v>328</v>
      </c>
      <c r="C34" s="74" t="s">
        <v>9</v>
      </c>
      <c r="D34" s="73">
        <v>10</v>
      </c>
      <c r="E34" s="169">
        <f>+'LISTA MAESTRA'!D121</f>
        <v>17.5</v>
      </c>
      <c r="F34" s="169">
        <f t="shared" si="1"/>
        <v>175</v>
      </c>
    </row>
    <row r="35" spans="1:12" x14ac:dyDescent="0.25">
      <c r="A35" s="72"/>
      <c r="B35" s="71"/>
      <c r="C35" s="49"/>
      <c r="D35" s="73"/>
      <c r="E35" s="169"/>
      <c r="F35" s="169">
        <f t="shared" si="1"/>
        <v>0</v>
      </c>
    </row>
    <row r="36" spans="1:12" x14ac:dyDescent="0.25">
      <c r="A36" s="55"/>
      <c r="B36" s="48"/>
      <c r="C36" s="49"/>
      <c r="D36" s="50"/>
      <c r="E36" s="52"/>
      <c r="F36" s="52"/>
    </row>
    <row r="37" spans="1:12" x14ac:dyDescent="0.25">
      <c r="A37" s="290" t="s">
        <v>45</v>
      </c>
      <c r="B37" s="232"/>
      <c r="C37" s="232"/>
      <c r="D37" s="232"/>
      <c r="E37" s="228"/>
      <c r="F37" s="56">
        <f>SUM(F29:F36)</f>
        <v>14436.710556437389</v>
      </c>
    </row>
    <row r="38" spans="1:12" x14ac:dyDescent="0.25">
      <c r="A38" s="246" t="s">
        <v>46</v>
      </c>
      <c r="B38" s="232"/>
      <c r="C38" s="232"/>
      <c r="D38" s="228"/>
      <c r="E38" s="40">
        <v>0</v>
      </c>
      <c r="F38" s="57">
        <f>+F37*E38</f>
        <v>0</v>
      </c>
    </row>
    <row r="39" spans="1:12" x14ac:dyDescent="0.25">
      <c r="A39" s="290" t="s">
        <v>50</v>
      </c>
      <c r="B39" s="232"/>
      <c r="C39" s="232"/>
      <c r="D39" s="232"/>
      <c r="E39" s="228"/>
      <c r="F39" s="58">
        <f>+F37+F38</f>
        <v>14436.710556437389</v>
      </c>
    </row>
    <row r="40" spans="1:12" x14ac:dyDescent="0.25">
      <c r="A40" s="246" t="s">
        <v>51</v>
      </c>
      <c r="B40" s="232"/>
      <c r="C40" s="232"/>
      <c r="D40" s="232"/>
      <c r="E40" s="228"/>
      <c r="F40" s="59">
        <f>+F39/F27</f>
        <v>14436.710556437389</v>
      </c>
    </row>
    <row r="41" spans="1:12" x14ac:dyDescent="0.25">
      <c r="A41" s="290" t="s">
        <v>53</v>
      </c>
      <c r="B41" s="232"/>
      <c r="C41" s="232"/>
      <c r="D41" s="232"/>
      <c r="E41" s="228"/>
      <c r="F41" s="61">
        <v>0.35</v>
      </c>
    </row>
    <row r="42" spans="1:12" x14ac:dyDescent="0.25">
      <c r="A42" s="246" t="s">
        <v>54</v>
      </c>
      <c r="B42" s="232"/>
      <c r="C42" s="232"/>
      <c r="D42" s="232"/>
      <c r="E42" s="228"/>
      <c r="F42" s="57">
        <f>+F40/F41</f>
        <v>41247.744446963974</v>
      </c>
    </row>
    <row r="43" spans="1:12" x14ac:dyDescent="0.25">
      <c r="A43" s="290" t="s">
        <v>55</v>
      </c>
      <c r="B43" s="232"/>
      <c r="C43" s="232"/>
      <c r="D43" s="232"/>
      <c r="E43" s="228"/>
      <c r="F43" s="56">
        <f>ROUNDUP(F42,-2)</f>
        <v>41300</v>
      </c>
    </row>
    <row r="44" spans="1:12" x14ac:dyDescent="0.25">
      <c r="A44" s="293" t="s">
        <v>56</v>
      </c>
      <c r="B44" s="232"/>
      <c r="C44" s="232"/>
      <c r="D44" s="232"/>
      <c r="E44" s="228"/>
      <c r="F44" s="65">
        <f>+F40/F43</f>
        <v>0.34955715633020312</v>
      </c>
    </row>
    <row r="45" spans="1:12" x14ac:dyDescent="0.25">
      <c r="A45" s="290" t="s">
        <v>57</v>
      </c>
      <c r="B45" s="232"/>
      <c r="C45" s="232"/>
      <c r="D45" s="228"/>
      <c r="E45" s="66">
        <v>0.08</v>
      </c>
      <c r="F45" s="58">
        <f>+F43*E45</f>
        <v>3304</v>
      </c>
    </row>
    <row r="46" spans="1:12" ht="15.75" customHeight="1" x14ac:dyDescent="0.25">
      <c r="A46" s="246" t="s">
        <v>58</v>
      </c>
      <c r="B46" s="232"/>
      <c r="C46" s="232"/>
      <c r="D46" s="232"/>
      <c r="E46" s="228"/>
      <c r="F46" s="67">
        <f>+F43+F45</f>
        <v>44604</v>
      </c>
    </row>
    <row r="47" spans="1:12" ht="15.75" customHeight="1" x14ac:dyDescent="0.25"/>
    <row r="48" spans="1:12" ht="15.75" customHeight="1" thickBot="1" x14ac:dyDescent="0.3"/>
    <row r="49" spans="1:6" ht="15.75" customHeight="1" thickBot="1" x14ac:dyDescent="0.3">
      <c r="A49" s="252" t="s">
        <v>111</v>
      </c>
      <c r="B49" s="264"/>
      <c r="C49" s="264"/>
      <c r="D49" s="264"/>
      <c r="E49" s="264"/>
      <c r="F49" s="265"/>
    </row>
    <row r="50" spans="1:6" ht="21" customHeight="1" x14ac:dyDescent="0.25">
      <c r="A50" s="261" t="s">
        <v>178</v>
      </c>
      <c r="B50" s="262"/>
      <c r="C50" s="262"/>
      <c r="D50" s="262"/>
      <c r="E50" s="262"/>
      <c r="F50" s="263"/>
    </row>
    <row r="51" spans="1:6" x14ac:dyDescent="0.25">
      <c r="A51" s="286" t="s">
        <v>59</v>
      </c>
      <c r="B51" s="287"/>
      <c r="C51" s="287"/>
      <c r="D51" s="225"/>
      <c r="E51" s="26" t="s">
        <v>49</v>
      </c>
      <c r="F51" s="27">
        <v>14</v>
      </c>
    </row>
    <row r="52" spans="1:6" ht="15" customHeight="1" x14ac:dyDescent="0.25">
      <c r="A52" s="215"/>
      <c r="B52" s="288"/>
      <c r="C52" s="288"/>
      <c r="D52" s="226"/>
      <c r="E52" s="28" t="s">
        <v>37</v>
      </c>
      <c r="F52" s="29">
        <v>1</v>
      </c>
    </row>
    <row r="53" spans="1:6" x14ac:dyDescent="0.25">
      <c r="A53" s="43" t="s">
        <v>38</v>
      </c>
      <c r="B53" s="43" t="s">
        <v>39</v>
      </c>
      <c r="C53" s="43" t="s">
        <v>40</v>
      </c>
      <c r="D53" s="44" t="s">
        <v>41</v>
      </c>
      <c r="E53" s="45" t="s">
        <v>42</v>
      </c>
      <c r="F53" s="46" t="s">
        <v>43</v>
      </c>
    </row>
    <row r="54" spans="1:6" x14ac:dyDescent="0.25">
      <c r="A54" s="47"/>
      <c r="B54" s="70" t="s">
        <v>213</v>
      </c>
      <c r="C54" s="74" t="s">
        <v>9</v>
      </c>
      <c r="D54" s="50">
        <v>400</v>
      </c>
      <c r="E54" s="168">
        <f>+'LISTA MAESTRA'!D30</f>
        <v>23.4</v>
      </c>
      <c r="F54" s="169">
        <f>+E54*D54</f>
        <v>9360</v>
      </c>
    </row>
    <row r="55" spans="1:6" x14ac:dyDescent="0.25">
      <c r="A55" s="47"/>
      <c r="B55" s="324" t="s">
        <v>218</v>
      </c>
      <c r="C55" s="325" t="s">
        <v>179</v>
      </c>
      <c r="D55" s="326">
        <v>1</v>
      </c>
      <c r="E55" s="327">
        <f>+'RECETA BASE'!F331</f>
        <v>1020.515</v>
      </c>
      <c r="F55" s="328">
        <f t="shared" ref="F55:F59" si="2">+E55*D55</f>
        <v>1020.515</v>
      </c>
    </row>
    <row r="56" spans="1:6" x14ac:dyDescent="0.25">
      <c r="A56" s="47"/>
      <c r="B56" s="324" t="s">
        <v>216</v>
      </c>
      <c r="C56" s="325" t="s">
        <v>179</v>
      </c>
      <c r="D56" s="326">
        <v>1</v>
      </c>
      <c r="E56" s="327">
        <f>+'RECETA BASE'!F142</f>
        <v>2184.0239999999999</v>
      </c>
      <c r="F56" s="328">
        <f t="shared" si="2"/>
        <v>2184.0239999999999</v>
      </c>
    </row>
    <row r="57" spans="1:6" x14ac:dyDescent="0.25">
      <c r="A57" s="47"/>
      <c r="B57" s="329" t="s">
        <v>303</v>
      </c>
      <c r="C57" s="330" t="s">
        <v>179</v>
      </c>
      <c r="D57" s="331">
        <v>1</v>
      </c>
      <c r="E57" s="332">
        <f>+'RECETA BASE'!F314</f>
        <v>558.18412992357435</v>
      </c>
      <c r="F57" s="333">
        <f t="shared" si="2"/>
        <v>558.18412992357435</v>
      </c>
    </row>
    <row r="58" spans="1:6" x14ac:dyDescent="0.25">
      <c r="A58" s="47"/>
      <c r="B58" s="70" t="s">
        <v>313</v>
      </c>
      <c r="C58" s="74" t="s">
        <v>9</v>
      </c>
      <c r="D58" s="50">
        <v>1</v>
      </c>
      <c r="E58" s="168">
        <f>+'LISTA MAESTRA'!D105</f>
        <v>28.157894736842106</v>
      </c>
      <c r="F58" s="169">
        <f t="shared" si="2"/>
        <v>28.157894736842106</v>
      </c>
    </row>
    <row r="59" spans="1:6" x14ac:dyDescent="0.25">
      <c r="A59" s="47"/>
      <c r="B59" s="70"/>
      <c r="C59" s="74"/>
      <c r="D59" s="50"/>
      <c r="E59" s="168"/>
      <c r="F59" s="169">
        <f t="shared" si="2"/>
        <v>0</v>
      </c>
    </row>
    <row r="60" spans="1:6" x14ac:dyDescent="0.25">
      <c r="A60" s="290" t="s">
        <v>45</v>
      </c>
      <c r="B60" s="232"/>
      <c r="C60" s="232"/>
      <c r="D60" s="232"/>
      <c r="E60" s="228"/>
      <c r="F60" s="56">
        <f>SUM(F54:F59)</f>
        <v>13150.881024660415</v>
      </c>
    </row>
    <row r="61" spans="1:6" x14ac:dyDescent="0.25">
      <c r="A61" s="246" t="s">
        <v>46</v>
      </c>
      <c r="B61" s="232"/>
      <c r="C61" s="232"/>
      <c r="D61" s="228"/>
      <c r="E61" s="40">
        <v>0</v>
      </c>
      <c r="F61" s="57">
        <f>+F60*E61</f>
        <v>0</v>
      </c>
    </row>
    <row r="62" spans="1:6" x14ac:dyDescent="0.25">
      <c r="A62" s="290" t="s">
        <v>50</v>
      </c>
      <c r="B62" s="232"/>
      <c r="C62" s="232"/>
      <c r="D62" s="232"/>
      <c r="E62" s="228"/>
      <c r="F62" s="58">
        <f>+F60+F61</f>
        <v>13150.881024660415</v>
      </c>
    </row>
    <row r="63" spans="1:6" x14ac:dyDescent="0.25">
      <c r="A63" s="246" t="s">
        <v>51</v>
      </c>
      <c r="B63" s="232"/>
      <c r="C63" s="232"/>
      <c r="D63" s="232"/>
      <c r="E63" s="228"/>
      <c r="F63" s="59">
        <f>+F62/F52</f>
        <v>13150.881024660415</v>
      </c>
    </row>
    <row r="64" spans="1:6" x14ac:dyDescent="0.25">
      <c r="A64" s="290" t="s">
        <v>53</v>
      </c>
      <c r="B64" s="232"/>
      <c r="C64" s="232"/>
      <c r="D64" s="232"/>
      <c r="E64" s="228"/>
      <c r="F64" s="61">
        <v>0.3</v>
      </c>
    </row>
    <row r="65" spans="1:6" x14ac:dyDescent="0.25">
      <c r="A65" s="246" t="s">
        <v>54</v>
      </c>
      <c r="B65" s="232"/>
      <c r="C65" s="232"/>
      <c r="D65" s="232"/>
      <c r="E65" s="228"/>
      <c r="F65" s="57">
        <f>+F63/F64</f>
        <v>43836.270082201387</v>
      </c>
    </row>
    <row r="66" spans="1:6" x14ac:dyDescent="0.25">
      <c r="A66" s="290" t="s">
        <v>55</v>
      </c>
      <c r="B66" s="232"/>
      <c r="C66" s="232"/>
      <c r="D66" s="232"/>
      <c r="E66" s="228"/>
      <c r="F66" s="56">
        <f>ROUNDUP(F65,-2)</f>
        <v>43900</v>
      </c>
    </row>
    <row r="67" spans="1:6" x14ac:dyDescent="0.25">
      <c r="A67" s="293" t="s">
        <v>56</v>
      </c>
      <c r="B67" s="232"/>
      <c r="C67" s="232"/>
      <c r="D67" s="232"/>
      <c r="E67" s="228"/>
      <c r="F67" s="65">
        <f>+F63/F66</f>
        <v>0.29956448803326685</v>
      </c>
    </row>
    <row r="68" spans="1:6" x14ac:dyDescent="0.25">
      <c r="A68" s="290" t="s">
        <v>57</v>
      </c>
      <c r="B68" s="232"/>
      <c r="C68" s="232"/>
      <c r="D68" s="228"/>
      <c r="E68" s="66">
        <v>0.08</v>
      </c>
      <c r="F68" s="58">
        <f>+F66*E68</f>
        <v>3512</v>
      </c>
    </row>
    <row r="69" spans="1:6" ht="21" customHeight="1" x14ac:dyDescent="0.25">
      <c r="A69" s="246" t="s">
        <v>58</v>
      </c>
      <c r="B69" s="232"/>
      <c r="C69" s="232"/>
      <c r="D69" s="232"/>
      <c r="E69" s="228"/>
      <c r="F69" s="67">
        <f>+F66+F68</f>
        <v>47412</v>
      </c>
    </row>
    <row r="70" spans="1:6" ht="15.75" thickBot="1" x14ac:dyDescent="0.3"/>
    <row r="71" spans="1:6" ht="15.75" thickBot="1" x14ac:dyDescent="0.3">
      <c r="A71" s="252" t="s">
        <v>112</v>
      </c>
      <c r="B71" s="264"/>
      <c r="C71" s="264"/>
      <c r="D71" s="264"/>
      <c r="E71" s="264"/>
      <c r="F71" s="265"/>
    </row>
    <row r="72" spans="1:6" x14ac:dyDescent="0.25">
      <c r="A72" s="261" t="s">
        <v>178</v>
      </c>
      <c r="B72" s="262"/>
      <c r="C72" s="262"/>
      <c r="D72" s="262"/>
      <c r="E72" s="262"/>
      <c r="F72" s="263"/>
    </row>
    <row r="73" spans="1:6" x14ac:dyDescent="0.25">
      <c r="A73" s="286" t="s">
        <v>59</v>
      </c>
      <c r="B73" s="287"/>
      <c r="C73" s="287"/>
      <c r="D73" s="225"/>
      <c r="E73" s="26" t="s">
        <v>49</v>
      </c>
      <c r="F73" s="27">
        <v>15</v>
      </c>
    </row>
    <row r="74" spans="1:6" x14ac:dyDescent="0.25">
      <c r="A74" s="215"/>
      <c r="B74" s="288"/>
      <c r="C74" s="288"/>
      <c r="D74" s="226"/>
      <c r="E74" s="28" t="s">
        <v>37</v>
      </c>
      <c r="F74" s="29">
        <v>1</v>
      </c>
    </row>
    <row r="75" spans="1:6" x14ac:dyDescent="0.25">
      <c r="A75" s="43" t="s">
        <v>38</v>
      </c>
      <c r="B75" s="43" t="s">
        <v>39</v>
      </c>
      <c r="C75" s="43" t="s">
        <v>40</v>
      </c>
      <c r="D75" s="44" t="s">
        <v>41</v>
      </c>
      <c r="E75" s="45" t="s">
        <v>42</v>
      </c>
      <c r="F75" s="46" t="s">
        <v>43</v>
      </c>
    </row>
    <row r="76" spans="1:6" x14ac:dyDescent="0.25">
      <c r="A76" s="47"/>
      <c r="B76" s="70" t="s">
        <v>213</v>
      </c>
      <c r="C76" s="74" t="s">
        <v>9</v>
      </c>
      <c r="D76" s="50">
        <v>400</v>
      </c>
      <c r="E76" s="166">
        <f>+'LISTA MAESTRA'!D30</f>
        <v>23.4</v>
      </c>
      <c r="F76" s="167">
        <f>+E76*D76</f>
        <v>9360</v>
      </c>
    </row>
    <row r="77" spans="1:6" x14ac:dyDescent="0.25">
      <c r="A77" s="47"/>
      <c r="B77" s="70" t="s">
        <v>208</v>
      </c>
      <c r="C77" s="74" t="s">
        <v>179</v>
      </c>
      <c r="D77" s="50">
        <v>1</v>
      </c>
      <c r="E77" s="166">
        <f>+'RECETA BASE'!F331</f>
        <v>1020.515</v>
      </c>
      <c r="F77" s="167">
        <f t="shared" ref="F77:F82" si="3">+E77*D77</f>
        <v>1020.515</v>
      </c>
    </row>
    <row r="78" spans="1:6" x14ac:dyDescent="0.25">
      <c r="A78" s="47"/>
      <c r="B78" s="70" t="s">
        <v>216</v>
      </c>
      <c r="C78" s="74" t="s">
        <v>179</v>
      </c>
      <c r="D78" s="50">
        <v>1</v>
      </c>
      <c r="E78" s="166">
        <f>+'RECETA BASE'!F142</f>
        <v>2184.0239999999999</v>
      </c>
      <c r="F78" s="167">
        <f t="shared" si="3"/>
        <v>2184.0239999999999</v>
      </c>
    </row>
    <row r="79" spans="1:6" x14ac:dyDescent="0.25">
      <c r="A79" s="47"/>
      <c r="B79" s="70" t="s">
        <v>329</v>
      </c>
      <c r="C79" s="74" t="s">
        <v>179</v>
      </c>
      <c r="D79" s="50">
        <v>1</v>
      </c>
      <c r="E79" s="166">
        <f>+'RECETA BASE'!F202</f>
        <v>3239.7929932189991</v>
      </c>
      <c r="F79" s="167">
        <f t="shared" si="3"/>
        <v>3239.7929932189991</v>
      </c>
    </row>
    <row r="80" spans="1:6" x14ac:dyDescent="0.25">
      <c r="A80" s="47"/>
      <c r="B80" s="70" t="s">
        <v>310</v>
      </c>
      <c r="C80" s="74" t="s">
        <v>9</v>
      </c>
      <c r="D80" s="50">
        <v>3</v>
      </c>
      <c r="E80" s="166">
        <f>+'LISTA MAESTRA'!D95</f>
        <v>2.4666666666666668</v>
      </c>
      <c r="F80" s="167">
        <f t="shared" si="3"/>
        <v>7.4</v>
      </c>
    </row>
    <row r="81" spans="1:6" x14ac:dyDescent="0.25">
      <c r="A81" s="47"/>
      <c r="B81" s="70" t="s">
        <v>284</v>
      </c>
      <c r="C81" s="74" t="s">
        <v>9</v>
      </c>
      <c r="D81" s="50">
        <v>1</v>
      </c>
      <c r="E81" s="166">
        <f>+'LISTA MAESTRA'!D107</f>
        <v>320</v>
      </c>
      <c r="F81" s="167">
        <f t="shared" si="3"/>
        <v>320</v>
      </c>
    </row>
    <row r="82" spans="1:6" x14ac:dyDescent="0.25">
      <c r="A82" s="47"/>
      <c r="B82" s="70" t="s">
        <v>253</v>
      </c>
      <c r="C82" s="74" t="s">
        <v>9</v>
      </c>
      <c r="D82" s="50">
        <v>30</v>
      </c>
      <c r="E82" s="166">
        <f>+'LISTA MAESTRA'!D87</f>
        <v>17.262499999999999</v>
      </c>
      <c r="F82" s="167">
        <f t="shared" si="3"/>
        <v>517.875</v>
      </c>
    </row>
    <row r="83" spans="1:6" x14ac:dyDescent="0.25">
      <c r="A83" s="47"/>
      <c r="B83" s="70"/>
      <c r="C83" s="74"/>
      <c r="D83" s="50"/>
      <c r="E83" s="78"/>
      <c r="F83" s="52"/>
    </row>
    <row r="84" spans="1:6" x14ac:dyDescent="0.25">
      <c r="A84" s="290" t="s">
        <v>45</v>
      </c>
      <c r="B84" s="232"/>
      <c r="C84" s="232"/>
      <c r="D84" s="232"/>
      <c r="E84" s="228"/>
      <c r="F84" s="56">
        <f>SUM(F76:F83)</f>
        <v>16649.606993219</v>
      </c>
    </row>
    <row r="85" spans="1:6" x14ac:dyDescent="0.25">
      <c r="A85" s="246" t="s">
        <v>46</v>
      </c>
      <c r="B85" s="232"/>
      <c r="C85" s="232"/>
      <c r="D85" s="228"/>
      <c r="E85" s="40">
        <v>0</v>
      </c>
      <c r="F85" s="57">
        <f>+F84*E85</f>
        <v>0</v>
      </c>
    </row>
    <row r="86" spans="1:6" x14ac:dyDescent="0.25">
      <c r="A86" s="290" t="s">
        <v>50</v>
      </c>
      <c r="B86" s="232"/>
      <c r="C86" s="232"/>
      <c r="D86" s="232"/>
      <c r="E86" s="228"/>
      <c r="F86" s="58">
        <f>+F84+F85</f>
        <v>16649.606993219</v>
      </c>
    </row>
    <row r="87" spans="1:6" x14ac:dyDescent="0.25">
      <c r="A87" s="246" t="s">
        <v>51</v>
      </c>
      <c r="B87" s="232"/>
      <c r="C87" s="232"/>
      <c r="D87" s="232"/>
      <c r="E87" s="228"/>
      <c r="F87" s="59">
        <f>+F86/F74</f>
        <v>16649.606993219</v>
      </c>
    </row>
    <row r="88" spans="1:6" x14ac:dyDescent="0.25">
      <c r="A88" s="290" t="s">
        <v>53</v>
      </c>
      <c r="B88" s="232"/>
      <c r="C88" s="232"/>
      <c r="D88" s="232"/>
      <c r="E88" s="228"/>
      <c r="F88" s="61">
        <v>0.35</v>
      </c>
    </row>
    <row r="89" spans="1:6" x14ac:dyDescent="0.25">
      <c r="A89" s="246" t="s">
        <v>54</v>
      </c>
      <c r="B89" s="232"/>
      <c r="C89" s="232"/>
      <c r="D89" s="232"/>
      <c r="E89" s="228"/>
      <c r="F89" s="57">
        <f>+F87/F88</f>
        <v>47570.305694911433</v>
      </c>
    </row>
    <row r="90" spans="1:6" x14ac:dyDescent="0.25">
      <c r="A90" s="290" t="s">
        <v>55</v>
      </c>
      <c r="B90" s="232"/>
      <c r="C90" s="232"/>
      <c r="D90" s="232"/>
      <c r="E90" s="228"/>
      <c r="F90" s="56">
        <f>ROUNDUP(F89,-2)</f>
        <v>47600</v>
      </c>
    </row>
    <row r="91" spans="1:6" x14ac:dyDescent="0.25">
      <c r="A91" s="293" t="s">
        <v>56</v>
      </c>
      <c r="B91" s="232"/>
      <c r="C91" s="232"/>
      <c r="D91" s="232"/>
      <c r="E91" s="228"/>
      <c r="F91" s="65">
        <f>+F87/F90</f>
        <v>0.34978165952140755</v>
      </c>
    </row>
    <row r="92" spans="1:6" ht="15.75" customHeight="1" x14ac:dyDescent="0.25">
      <c r="A92" s="290" t="s">
        <v>57</v>
      </c>
      <c r="B92" s="232"/>
      <c r="C92" s="232"/>
      <c r="D92" s="228"/>
      <c r="E92" s="66">
        <v>0.08</v>
      </c>
      <c r="F92" s="58">
        <f>+F90*E92</f>
        <v>3808</v>
      </c>
    </row>
    <row r="93" spans="1:6" ht="15.75" customHeight="1" x14ac:dyDescent="0.25">
      <c r="A93" s="246" t="s">
        <v>58</v>
      </c>
      <c r="B93" s="232"/>
      <c r="C93" s="232"/>
      <c r="D93" s="232"/>
      <c r="E93" s="228"/>
      <c r="F93" s="67">
        <f>+F90+F92</f>
        <v>51408</v>
      </c>
    </row>
    <row r="94" spans="1:6" ht="15.75" customHeight="1" x14ac:dyDescent="0.25"/>
    <row r="95" spans="1:6" ht="15.75" customHeight="1" x14ac:dyDescent="0.25"/>
    <row r="96" spans="1: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sheetData>
  <mergeCells count="52">
    <mergeCell ref="A2:F2"/>
    <mergeCell ref="A3:D4"/>
    <mergeCell ref="A1:F1"/>
    <mergeCell ref="A18:E18"/>
    <mergeCell ref="A19:E19"/>
    <mergeCell ref="A20:D20"/>
    <mergeCell ref="A21:E21"/>
    <mergeCell ref="A24:F24"/>
    <mergeCell ref="A12:E12"/>
    <mergeCell ref="A13:D13"/>
    <mergeCell ref="A14:E14"/>
    <mergeCell ref="A15:E15"/>
    <mergeCell ref="A16:E16"/>
    <mergeCell ref="A17:E17"/>
    <mergeCell ref="A25:F25"/>
    <mergeCell ref="A26:D27"/>
    <mergeCell ref="A43:E43"/>
    <mergeCell ref="A44:E44"/>
    <mergeCell ref="A45:D45"/>
    <mergeCell ref="A46:E46"/>
    <mergeCell ref="A49:F49"/>
    <mergeCell ref="A37:E37"/>
    <mergeCell ref="A38:D38"/>
    <mergeCell ref="A39:E39"/>
    <mergeCell ref="A40:E40"/>
    <mergeCell ref="A41:E41"/>
    <mergeCell ref="A42:E42"/>
    <mergeCell ref="A50:F50"/>
    <mergeCell ref="A51:D52"/>
    <mergeCell ref="A66:E66"/>
    <mergeCell ref="A67:E67"/>
    <mergeCell ref="A68:D68"/>
    <mergeCell ref="A69:E69"/>
    <mergeCell ref="A71:F71"/>
    <mergeCell ref="A60:E60"/>
    <mergeCell ref="A61:D61"/>
    <mergeCell ref="A62:E62"/>
    <mergeCell ref="A63:E63"/>
    <mergeCell ref="A64:E64"/>
    <mergeCell ref="A65:E65"/>
    <mergeCell ref="A72:F72"/>
    <mergeCell ref="A73:D74"/>
    <mergeCell ref="A90:E90"/>
    <mergeCell ref="A91:E91"/>
    <mergeCell ref="A92:D92"/>
    <mergeCell ref="A93:E93"/>
    <mergeCell ref="A84:E84"/>
    <mergeCell ref="A85:D85"/>
    <mergeCell ref="A86:E86"/>
    <mergeCell ref="A87:E87"/>
    <mergeCell ref="A88:E88"/>
    <mergeCell ref="A89:E89"/>
  </mergeCells>
  <hyperlinks>
    <hyperlink ref="H2" location="'LISTA MAESTRA'!A1" display="LISTA MAESTRA" xr:uid="{B8C96CB8-7699-48D3-827F-8BB4F5AC7CC5}"/>
    <hyperlink ref="I2" location="'RECETA BASE'!A1" display="'RECETA BASE'" xr:uid="{E17DA84D-84C8-4D74-887B-7AC6B1FE51B8}"/>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4AB5C-3252-4598-979E-FDAC3AD7AB72}">
  <sheetPr>
    <tabColor rgb="FF7030A0"/>
  </sheetPr>
  <dimension ref="A1:K587"/>
  <sheetViews>
    <sheetView workbookViewId="0">
      <selection activeCell="B12" sqref="B12"/>
    </sheetView>
  </sheetViews>
  <sheetFormatPr baseColWidth="10" defaultColWidth="14.42578125" defaultRowHeight="15" customHeight="1" x14ac:dyDescent="0.25"/>
  <cols>
    <col min="1" max="1" width="10.7109375" customWidth="1"/>
    <col min="2" max="2" width="29.7109375" customWidth="1"/>
    <col min="3" max="4" width="10.7109375" customWidth="1"/>
    <col min="5" max="5" width="13" customWidth="1"/>
    <col min="6" max="6" width="10.7109375" customWidth="1"/>
    <col min="7" max="7" width="4.42578125" customWidth="1"/>
    <col min="8" max="8" width="14.5703125" customWidth="1"/>
    <col min="9" max="9" width="13.28515625" customWidth="1"/>
    <col min="10" max="14" width="10.7109375" customWidth="1"/>
    <col min="15" max="15" width="4.28515625" customWidth="1"/>
    <col min="16" max="19" width="10.7109375" customWidth="1"/>
  </cols>
  <sheetData>
    <row r="1" spans="1:11" ht="21" customHeight="1" thickBot="1" x14ac:dyDescent="0.3">
      <c r="A1" s="252" t="s">
        <v>217</v>
      </c>
      <c r="B1" s="264"/>
      <c r="C1" s="264"/>
      <c r="D1" s="264"/>
      <c r="E1" s="264"/>
      <c r="F1" s="265"/>
    </row>
    <row r="2" spans="1:11" x14ac:dyDescent="0.25">
      <c r="A2" s="261" t="s">
        <v>178</v>
      </c>
      <c r="B2" s="262"/>
      <c r="C2" s="262"/>
      <c r="D2" s="262"/>
      <c r="E2" s="262"/>
      <c r="F2" s="263"/>
      <c r="H2" s="38" t="s">
        <v>44</v>
      </c>
      <c r="I2" s="60" t="s">
        <v>52</v>
      </c>
    </row>
    <row r="3" spans="1:11" x14ac:dyDescent="0.25">
      <c r="A3" s="286" t="s">
        <v>59</v>
      </c>
      <c r="B3" s="287"/>
      <c r="C3" s="287"/>
      <c r="D3" s="225"/>
      <c r="E3" s="26" t="s">
        <v>49</v>
      </c>
      <c r="F3" s="27">
        <v>16</v>
      </c>
    </row>
    <row r="4" spans="1:11" x14ac:dyDescent="0.25">
      <c r="A4" s="215"/>
      <c r="B4" s="288"/>
      <c r="C4" s="288"/>
      <c r="D4" s="226"/>
      <c r="E4" s="28" t="s">
        <v>37</v>
      </c>
      <c r="F4" s="29">
        <v>1</v>
      </c>
      <c r="J4" s="62"/>
      <c r="K4" s="63"/>
    </row>
    <row r="5" spans="1:11" x14ac:dyDescent="0.25">
      <c r="A5" s="43" t="s">
        <v>38</v>
      </c>
      <c r="B5" s="43" t="s">
        <v>39</v>
      </c>
      <c r="C5" s="43" t="s">
        <v>40</v>
      </c>
      <c r="D5" s="44" t="s">
        <v>41</v>
      </c>
      <c r="E5" s="45" t="s">
        <v>42</v>
      </c>
      <c r="F5" s="46" t="s">
        <v>43</v>
      </c>
      <c r="I5" s="64"/>
    </row>
    <row r="6" spans="1:11" x14ac:dyDescent="0.25">
      <c r="A6" s="47"/>
      <c r="B6" s="70" t="s">
        <v>331</v>
      </c>
      <c r="C6" s="74" t="s">
        <v>9</v>
      </c>
      <c r="D6" s="50">
        <v>500</v>
      </c>
      <c r="E6" s="168">
        <f>+'LISTA MAESTRA'!D21</f>
        <v>23.6</v>
      </c>
      <c r="F6" s="169">
        <f>+E6*D6</f>
        <v>11800</v>
      </c>
      <c r="J6" s="62"/>
      <c r="K6" s="62"/>
    </row>
    <row r="7" spans="1:11" x14ac:dyDescent="0.25">
      <c r="A7" s="47"/>
      <c r="B7" s="70" t="s">
        <v>315</v>
      </c>
      <c r="C7" s="74" t="s">
        <v>198</v>
      </c>
      <c r="D7" s="50"/>
      <c r="E7" s="168"/>
      <c r="F7" s="169">
        <f t="shared" ref="F7:F12" si="0">+E7*D7</f>
        <v>0</v>
      </c>
    </row>
    <row r="8" spans="1:11" x14ac:dyDescent="0.25">
      <c r="A8" s="47"/>
      <c r="B8" s="70" t="s">
        <v>218</v>
      </c>
      <c r="C8" s="74" t="s">
        <v>195</v>
      </c>
      <c r="D8" s="50">
        <v>1</v>
      </c>
      <c r="E8" s="168">
        <f>+'RECETA BASE'!F331</f>
        <v>1020.515</v>
      </c>
      <c r="F8" s="169">
        <f t="shared" si="0"/>
        <v>1020.515</v>
      </c>
    </row>
    <row r="9" spans="1:11" x14ac:dyDescent="0.25">
      <c r="A9" s="47"/>
      <c r="B9" s="70" t="s">
        <v>216</v>
      </c>
      <c r="C9" s="74" t="s">
        <v>195</v>
      </c>
      <c r="D9" s="50">
        <v>1</v>
      </c>
      <c r="E9" s="168">
        <f>+'RECETA BASE'!F142</f>
        <v>2184.0239999999999</v>
      </c>
      <c r="F9" s="169">
        <f t="shared" si="0"/>
        <v>2184.0239999999999</v>
      </c>
    </row>
    <row r="10" spans="1:11" x14ac:dyDescent="0.25">
      <c r="A10" s="47"/>
      <c r="B10" s="70" t="s">
        <v>332</v>
      </c>
      <c r="C10" s="74"/>
      <c r="D10" s="50"/>
      <c r="E10" s="168"/>
      <c r="F10" s="169">
        <f t="shared" si="0"/>
        <v>0</v>
      </c>
    </row>
    <row r="11" spans="1:11" x14ac:dyDescent="0.25">
      <c r="A11" s="53"/>
      <c r="B11" s="71" t="s">
        <v>333</v>
      </c>
      <c r="C11" s="74" t="s">
        <v>25</v>
      </c>
      <c r="D11" s="54"/>
      <c r="E11" s="169"/>
      <c r="F11" s="169">
        <f t="shared" si="0"/>
        <v>0</v>
      </c>
    </row>
    <row r="12" spans="1:11" x14ac:dyDescent="0.25">
      <c r="A12" s="72"/>
      <c r="B12" s="71" t="s">
        <v>334</v>
      </c>
      <c r="C12" s="74" t="s">
        <v>179</v>
      </c>
      <c r="D12" s="73">
        <v>1</v>
      </c>
      <c r="E12" s="169"/>
      <c r="F12" s="169">
        <f t="shared" si="0"/>
        <v>0</v>
      </c>
    </row>
    <row r="13" spans="1:11" x14ac:dyDescent="0.25">
      <c r="A13" s="72"/>
      <c r="B13" s="71"/>
      <c r="C13" s="49"/>
      <c r="D13" s="73"/>
      <c r="E13" s="169"/>
      <c r="F13" s="169"/>
    </row>
    <row r="14" spans="1:11" x14ac:dyDescent="0.25">
      <c r="A14" s="55"/>
      <c r="B14" s="48"/>
      <c r="C14" s="49"/>
      <c r="D14" s="50"/>
      <c r="E14" s="52"/>
      <c r="F14" s="52"/>
    </row>
    <row r="15" spans="1:11" x14ac:dyDescent="0.25">
      <c r="A15" s="290" t="s">
        <v>45</v>
      </c>
      <c r="B15" s="232"/>
      <c r="C15" s="232"/>
      <c r="D15" s="232"/>
      <c r="E15" s="228"/>
      <c r="F15" s="56">
        <f>SUM(F6:F14)</f>
        <v>15004.538999999999</v>
      </c>
    </row>
    <row r="16" spans="1:11" x14ac:dyDescent="0.25">
      <c r="A16" s="246" t="s">
        <v>46</v>
      </c>
      <c r="B16" s="232"/>
      <c r="C16" s="232"/>
      <c r="D16" s="228"/>
      <c r="E16" s="40">
        <v>0</v>
      </c>
      <c r="F16" s="57">
        <f>+F15*E16</f>
        <v>0</v>
      </c>
    </row>
    <row r="17" spans="1:6" x14ac:dyDescent="0.25">
      <c r="A17" s="290" t="s">
        <v>50</v>
      </c>
      <c r="B17" s="232"/>
      <c r="C17" s="232"/>
      <c r="D17" s="232"/>
      <c r="E17" s="228"/>
      <c r="F17" s="58">
        <f>+F15+F16</f>
        <v>15004.538999999999</v>
      </c>
    </row>
    <row r="18" spans="1:6" x14ac:dyDescent="0.25">
      <c r="A18" s="246" t="s">
        <v>51</v>
      </c>
      <c r="B18" s="232"/>
      <c r="C18" s="232"/>
      <c r="D18" s="232"/>
      <c r="E18" s="228"/>
      <c r="F18" s="59">
        <f>+F17/F4</f>
        <v>15004.538999999999</v>
      </c>
    </row>
    <row r="19" spans="1:6" x14ac:dyDescent="0.25">
      <c r="A19" s="290" t="s">
        <v>53</v>
      </c>
      <c r="B19" s="232"/>
      <c r="C19" s="232"/>
      <c r="D19" s="232"/>
      <c r="E19" s="228"/>
      <c r="F19" s="61">
        <v>0.35</v>
      </c>
    </row>
    <row r="20" spans="1:6" x14ac:dyDescent="0.25">
      <c r="A20" s="246" t="s">
        <v>54</v>
      </c>
      <c r="B20" s="232"/>
      <c r="C20" s="232"/>
      <c r="D20" s="232"/>
      <c r="E20" s="228"/>
      <c r="F20" s="57">
        <f>+F18/F19</f>
        <v>42870.111428571428</v>
      </c>
    </row>
    <row r="21" spans="1:6" x14ac:dyDescent="0.25">
      <c r="A21" s="290" t="s">
        <v>55</v>
      </c>
      <c r="B21" s="232"/>
      <c r="C21" s="232"/>
      <c r="D21" s="232"/>
      <c r="E21" s="228"/>
      <c r="F21" s="56">
        <f>ROUNDUP(F20,-2)</f>
        <v>42900</v>
      </c>
    </row>
    <row r="22" spans="1:6" x14ac:dyDescent="0.25">
      <c r="A22" s="293" t="s">
        <v>56</v>
      </c>
      <c r="B22" s="232"/>
      <c r="C22" s="232"/>
      <c r="D22" s="232"/>
      <c r="E22" s="228"/>
      <c r="F22" s="65">
        <f>+F18/F21</f>
        <v>0.34975615384615383</v>
      </c>
    </row>
    <row r="23" spans="1:6" ht="15.75" customHeight="1" x14ac:dyDescent="0.25">
      <c r="A23" s="290" t="s">
        <v>57</v>
      </c>
      <c r="B23" s="232"/>
      <c r="C23" s="232"/>
      <c r="D23" s="228"/>
      <c r="E23" s="66">
        <v>0.08</v>
      </c>
      <c r="F23" s="58">
        <f>+F21*E23</f>
        <v>3432</v>
      </c>
    </row>
    <row r="24" spans="1:6" ht="15.75" customHeight="1" x14ac:dyDescent="0.25">
      <c r="A24" s="246" t="s">
        <v>58</v>
      </c>
      <c r="B24" s="232"/>
      <c r="C24" s="232"/>
      <c r="D24" s="232"/>
      <c r="E24" s="228"/>
      <c r="F24" s="67">
        <f>+F21+F23</f>
        <v>46332</v>
      </c>
    </row>
    <row r="25" spans="1:6" ht="15.75" customHeight="1" x14ac:dyDescent="0.25"/>
    <row r="26" spans="1:6" ht="15.75" customHeight="1" x14ac:dyDescent="0.25"/>
    <row r="27" spans="1:6" ht="15.75" customHeight="1" x14ac:dyDescent="0.25"/>
    <row r="28" spans="1:6" ht="15.75" customHeight="1" x14ac:dyDescent="0.25"/>
    <row r="29" spans="1:6" ht="15.75" customHeight="1" x14ac:dyDescent="0.25"/>
    <row r="30" spans="1:6" ht="15.75" customHeight="1" x14ac:dyDescent="0.25"/>
    <row r="31" spans="1:6" ht="15.75" customHeight="1" x14ac:dyDescent="0.25"/>
    <row r="32" spans="1: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sheetData>
  <mergeCells count="13">
    <mergeCell ref="A2:F2"/>
    <mergeCell ref="A3:D4"/>
    <mergeCell ref="A1:F1"/>
    <mergeCell ref="A21:E21"/>
    <mergeCell ref="A22:E22"/>
    <mergeCell ref="A23:D23"/>
    <mergeCell ref="A24:E24"/>
    <mergeCell ref="A15:E15"/>
    <mergeCell ref="A16:D16"/>
    <mergeCell ref="A17:E17"/>
    <mergeCell ref="A18:E18"/>
    <mergeCell ref="A19:E19"/>
    <mergeCell ref="A20:E20"/>
  </mergeCells>
  <hyperlinks>
    <hyperlink ref="H2" location="'LISTA MAESTRA'!A1" display="LISTA MAESTRA" xr:uid="{8FCFF5F6-9742-4AB8-BCE7-06894B7542D9}"/>
    <hyperlink ref="I2" location="'RECETA BASE'!A1" display="'RECETA BASE'" xr:uid="{B762E6FA-4AFF-44B1-97F4-82C3A06F7355}"/>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DD06-C883-415A-97AB-7F70B57E00B0}">
  <sheetPr>
    <tabColor rgb="FF7030A0"/>
  </sheetPr>
  <dimension ref="A1:I773"/>
  <sheetViews>
    <sheetView workbookViewId="0">
      <selection sqref="A1:F1"/>
    </sheetView>
  </sheetViews>
  <sheetFormatPr baseColWidth="10" defaultColWidth="14.42578125" defaultRowHeight="15" customHeight="1" x14ac:dyDescent="0.25"/>
  <cols>
    <col min="1" max="1" width="10.7109375" customWidth="1"/>
    <col min="2" max="2" width="34.28515625" bestFit="1" customWidth="1"/>
    <col min="3" max="4" width="10.7109375" customWidth="1"/>
    <col min="5" max="5" width="13" customWidth="1"/>
    <col min="6" max="6" width="10.7109375" customWidth="1"/>
    <col min="7" max="7" width="4.42578125" customWidth="1"/>
    <col min="8" max="8" width="14.5703125" customWidth="1"/>
    <col min="9" max="9" width="13.28515625" customWidth="1"/>
    <col min="10" max="14" width="10.7109375" customWidth="1"/>
    <col min="15" max="15" width="4.28515625" customWidth="1"/>
    <col min="16" max="19" width="10.7109375" customWidth="1"/>
  </cols>
  <sheetData>
    <row r="1" spans="1:9" ht="21" customHeight="1" thickBot="1" x14ac:dyDescent="0.3">
      <c r="A1" s="252" t="s">
        <v>116</v>
      </c>
      <c r="B1" s="264"/>
      <c r="C1" s="264"/>
      <c r="D1" s="264"/>
      <c r="E1" s="264"/>
      <c r="F1" s="265"/>
    </row>
    <row r="2" spans="1:9" x14ac:dyDescent="0.25">
      <c r="A2" s="261" t="s">
        <v>178</v>
      </c>
      <c r="B2" s="262"/>
      <c r="C2" s="262"/>
      <c r="D2" s="262"/>
      <c r="E2" s="262"/>
      <c r="F2" s="263"/>
      <c r="H2" s="38" t="s">
        <v>44</v>
      </c>
      <c r="I2" s="60" t="s">
        <v>52</v>
      </c>
    </row>
    <row r="3" spans="1:9" x14ac:dyDescent="0.25">
      <c r="A3" s="286" t="s">
        <v>59</v>
      </c>
      <c r="B3" s="287"/>
      <c r="C3" s="287"/>
      <c r="D3" s="225"/>
      <c r="E3" s="26" t="s">
        <v>49</v>
      </c>
      <c r="F3" s="27">
        <v>17</v>
      </c>
    </row>
    <row r="4" spans="1:9" x14ac:dyDescent="0.25">
      <c r="A4" s="215"/>
      <c r="B4" s="288"/>
      <c r="C4" s="288"/>
      <c r="D4" s="226"/>
      <c r="E4" s="28" t="s">
        <v>37</v>
      </c>
      <c r="F4" s="29">
        <v>1</v>
      </c>
    </row>
    <row r="5" spans="1:9" x14ac:dyDescent="0.25">
      <c r="A5" s="43" t="s">
        <v>38</v>
      </c>
      <c r="B5" s="43" t="s">
        <v>39</v>
      </c>
      <c r="C5" s="43" t="s">
        <v>40</v>
      </c>
      <c r="D5" s="44" t="s">
        <v>41</v>
      </c>
      <c r="E5" s="45" t="s">
        <v>42</v>
      </c>
      <c r="F5" s="46" t="s">
        <v>43</v>
      </c>
    </row>
    <row r="6" spans="1:9" x14ac:dyDescent="0.25">
      <c r="A6" s="47"/>
      <c r="B6" s="70" t="s">
        <v>219</v>
      </c>
      <c r="C6" s="74" t="s">
        <v>179</v>
      </c>
      <c r="D6" s="50">
        <v>1</v>
      </c>
      <c r="E6" s="168">
        <f>+'LISTA MAESTRA'!D14</f>
        <v>11484</v>
      </c>
      <c r="F6" s="169">
        <f>+E6*D6</f>
        <v>11484</v>
      </c>
    </row>
    <row r="7" spans="1:9" x14ac:dyDescent="0.25">
      <c r="A7" s="47"/>
      <c r="B7" s="70" t="s">
        <v>218</v>
      </c>
      <c r="C7" s="74" t="s">
        <v>179</v>
      </c>
      <c r="D7" s="50">
        <v>1</v>
      </c>
      <c r="E7" s="168">
        <f>+'RECETA BASE'!F331</f>
        <v>1020.515</v>
      </c>
      <c r="F7" s="169">
        <f t="shared" ref="F7:F15" si="0">+E7*D7</f>
        <v>1020.515</v>
      </c>
    </row>
    <row r="8" spans="1:9" x14ac:dyDescent="0.25">
      <c r="A8" s="47"/>
      <c r="B8" s="70" t="s">
        <v>284</v>
      </c>
      <c r="C8" s="74" t="s">
        <v>9</v>
      </c>
      <c r="D8" s="50">
        <v>2</v>
      </c>
      <c r="E8" s="168">
        <f>+'LISTA MAESTRA'!D107</f>
        <v>320</v>
      </c>
      <c r="F8" s="169">
        <f t="shared" si="0"/>
        <v>640</v>
      </c>
    </row>
    <row r="9" spans="1:9" x14ac:dyDescent="0.25">
      <c r="A9" s="47"/>
      <c r="B9" s="70" t="s">
        <v>250</v>
      </c>
      <c r="C9" s="74" t="s">
        <v>9</v>
      </c>
      <c r="D9" s="50">
        <v>2</v>
      </c>
      <c r="E9" s="168">
        <f>+'LISTA MAESTRA'!D95</f>
        <v>2.4666666666666668</v>
      </c>
      <c r="F9" s="169">
        <f t="shared" si="0"/>
        <v>4.9333333333333336</v>
      </c>
    </row>
    <row r="10" spans="1:9" x14ac:dyDescent="0.25">
      <c r="A10" s="47"/>
      <c r="B10" s="70" t="s">
        <v>303</v>
      </c>
      <c r="C10" s="74" t="s">
        <v>228</v>
      </c>
      <c r="D10" s="50">
        <v>1</v>
      </c>
      <c r="E10" s="168">
        <f>+'RECETA BASE'!F314</f>
        <v>558.18412992357435</v>
      </c>
      <c r="F10" s="169">
        <f t="shared" si="0"/>
        <v>558.18412992357435</v>
      </c>
    </row>
    <row r="11" spans="1:9" x14ac:dyDescent="0.25">
      <c r="A11" s="53"/>
      <c r="B11" s="71" t="s">
        <v>317</v>
      </c>
      <c r="C11" s="74" t="s">
        <v>365</v>
      </c>
      <c r="D11" s="54"/>
      <c r="E11" s="169"/>
      <c r="F11" s="169">
        <f t="shared" si="0"/>
        <v>0</v>
      </c>
    </row>
    <row r="12" spans="1:9" x14ac:dyDescent="0.25">
      <c r="A12" s="72"/>
      <c r="B12" s="71" t="s">
        <v>332</v>
      </c>
      <c r="C12" s="74"/>
      <c r="D12" s="73"/>
      <c r="E12" s="169"/>
      <c r="F12" s="169">
        <f t="shared" si="0"/>
        <v>0</v>
      </c>
    </row>
    <row r="13" spans="1:9" x14ac:dyDescent="0.25">
      <c r="A13" s="72"/>
      <c r="B13" s="71" t="s">
        <v>390</v>
      </c>
      <c r="C13" s="74" t="s">
        <v>179</v>
      </c>
      <c r="D13" s="176">
        <v>0.5</v>
      </c>
      <c r="E13" s="169">
        <f>+'RECETA BASE'!F107</f>
        <v>4971.8239999999996</v>
      </c>
      <c r="F13" s="169">
        <f t="shared" si="0"/>
        <v>2485.9119999999998</v>
      </c>
    </row>
    <row r="14" spans="1:9" x14ac:dyDescent="0.25">
      <c r="A14" s="72"/>
      <c r="B14" s="71" t="s">
        <v>336</v>
      </c>
      <c r="C14" s="74" t="s">
        <v>9</v>
      </c>
      <c r="D14" s="73"/>
      <c r="E14" s="169"/>
      <c r="F14" s="169">
        <f t="shared" si="0"/>
        <v>0</v>
      </c>
    </row>
    <row r="15" spans="1:9" x14ac:dyDescent="0.25">
      <c r="A15" s="72"/>
      <c r="B15" s="71" t="s">
        <v>337</v>
      </c>
      <c r="C15" s="74" t="s">
        <v>9</v>
      </c>
      <c r="D15" s="73"/>
      <c r="E15" s="169"/>
      <c r="F15" s="169">
        <f t="shared" si="0"/>
        <v>0</v>
      </c>
    </row>
    <row r="16" spans="1:9" x14ac:dyDescent="0.25">
      <c r="A16" s="72"/>
      <c r="B16" s="71"/>
      <c r="C16" s="49"/>
      <c r="D16" s="73"/>
      <c r="E16" s="169"/>
      <c r="F16" s="169"/>
    </row>
    <row r="17" spans="1:6" x14ac:dyDescent="0.25">
      <c r="A17" s="55"/>
      <c r="B17" s="48"/>
      <c r="C17" s="49"/>
      <c r="D17" s="50"/>
      <c r="E17" s="52"/>
      <c r="F17" s="52"/>
    </row>
    <row r="18" spans="1:6" x14ac:dyDescent="0.25">
      <c r="A18" s="290" t="s">
        <v>45</v>
      </c>
      <c r="B18" s="232"/>
      <c r="C18" s="232"/>
      <c r="D18" s="232"/>
      <c r="E18" s="228"/>
      <c r="F18" s="56">
        <f>SUM(F6:F17)</f>
        <v>16193.544463256907</v>
      </c>
    </row>
    <row r="19" spans="1:6" x14ac:dyDescent="0.25">
      <c r="A19" s="246" t="s">
        <v>46</v>
      </c>
      <c r="B19" s="232"/>
      <c r="C19" s="232"/>
      <c r="D19" s="228"/>
      <c r="E19" s="40">
        <v>0</v>
      </c>
      <c r="F19" s="57">
        <f>+F18*E19</f>
        <v>0</v>
      </c>
    </row>
    <row r="20" spans="1:6" x14ac:dyDescent="0.25">
      <c r="A20" s="290" t="s">
        <v>50</v>
      </c>
      <c r="B20" s="232"/>
      <c r="C20" s="232"/>
      <c r="D20" s="232"/>
      <c r="E20" s="228"/>
      <c r="F20" s="58">
        <f>+F18+F19</f>
        <v>16193.544463256907</v>
      </c>
    </row>
    <row r="21" spans="1:6" x14ac:dyDescent="0.25">
      <c r="A21" s="246" t="s">
        <v>51</v>
      </c>
      <c r="B21" s="232"/>
      <c r="C21" s="232"/>
      <c r="D21" s="232"/>
      <c r="E21" s="228"/>
      <c r="F21" s="59">
        <f>+F20/F4</f>
        <v>16193.544463256907</v>
      </c>
    </row>
    <row r="22" spans="1:6" x14ac:dyDescent="0.25">
      <c r="A22" s="290" t="s">
        <v>53</v>
      </c>
      <c r="B22" s="232"/>
      <c r="C22" s="232"/>
      <c r="D22" s="232"/>
      <c r="E22" s="228"/>
      <c r="F22" s="61">
        <v>0.35</v>
      </c>
    </row>
    <row r="23" spans="1:6" ht="15.75" customHeight="1" x14ac:dyDescent="0.25">
      <c r="A23" s="246" t="s">
        <v>54</v>
      </c>
      <c r="B23" s="232"/>
      <c r="C23" s="232"/>
      <c r="D23" s="232"/>
      <c r="E23" s="228"/>
      <c r="F23" s="57">
        <f>+F21/F22</f>
        <v>46267.269895019737</v>
      </c>
    </row>
    <row r="24" spans="1:6" ht="15.75" customHeight="1" x14ac:dyDescent="0.25">
      <c r="A24" s="290" t="s">
        <v>55</v>
      </c>
      <c r="B24" s="232"/>
      <c r="C24" s="232"/>
      <c r="D24" s="232"/>
      <c r="E24" s="228"/>
      <c r="F24" s="56">
        <f>ROUNDUP(F23,-2)</f>
        <v>46300</v>
      </c>
    </row>
    <row r="25" spans="1:6" ht="15.75" customHeight="1" x14ac:dyDescent="0.25">
      <c r="A25" s="293" t="s">
        <v>56</v>
      </c>
      <c r="B25" s="232"/>
      <c r="C25" s="232"/>
      <c r="D25" s="232"/>
      <c r="E25" s="228"/>
      <c r="F25" s="65">
        <f>+F21/F24</f>
        <v>0.34975258019993322</v>
      </c>
    </row>
    <row r="26" spans="1:6" ht="15.75" customHeight="1" x14ac:dyDescent="0.25">
      <c r="A26" s="290" t="s">
        <v>57</v>
      </c>
      <c r="B26" s="232"/>
      <c r="C26" s="232"/>
      <c r="D26" s="228"/>
      <c r="E26" s="66">
        <v>0.08</v>
      </c>
      <c r="F26" s="58">
        <f>+F24*E26</f>
        <v>3704</v>
      </c>
    </row>
    <row r="27" spans="1:6" ht="21" customHeight="1" x14ac:dyDescent="0.25">
      <c r="A27" s="246" t="s">
        <v>58</v>
      </c>
      <c r="B27" s="232"/>
      <c r="C27" s="232"/>
      <c r="D27" s="232"/>
      <c r="E27" s="228"/>
      <c r="F27" s="67">
        <f>+F24+F26</f>
        <v>50004</v>
      </c>
    </row>
    <row r="29" spans="1:6" ht="15.75" thickBot="1" x14ac:dyDescent="0.3"/>
    <row r="30" spans="1:6" ht="15.75" thickBot="1" x14ac:dyDescent="0.3">
      <c r="A30" s="252" t="s">
        <v>117</v>
      </c>
      <c r="B30" s="264"/>
      <c r="C30" s="264"/>
      <c r="D30" s="264"/>
      <c r="E30" s="264"/>
      <c r="F30" s="265"/>
    </row>
    <row r="31" spans="1:6" x14ac:dyDescent="0.25">
      <c r="A31" s="261" t="s">
        <v>178</v>
      </c>
      <c r="B31" s="262"/>
      <c r="C31" s="262"/>
      <c r="D31" s="262"/>
      <c r="E31" s="262"/>
      <c r="F31" s="263"/>
    </row>
    <row r="32" spans="1:6" x14ac:dyDescent="0.25">
      <c r="A32" s="286" t="s">
        <v>59</v>
      </c>
      <c r="B32" s="287"/>
      <c r="C32" s="287"/>
      <c r="D32" s="225"/>
      <c r="E32" s="26" t="s">
        <v>49</v>
      </c>
      <c r="F32" s="27">
        <v>18</v>
      </c>
    </row>
    <row r="33" spans="1:6" x14ac:dyDescent="0.25">
      <c r="A33" s="215"/>
      <c r="B33" s="288"/>
      <c r="C33" s="288"/>
      <c r="D33" s="226"/>
      <c r="E33" s="28" t="s">
        <v>37</v>
      </c>
      <c r="F33" s="29">
        <v>1</v>
      </c>
    </row>
    <row r="34" spans="1:6" x14ac:dyDescent="0.25">
      <c r="A34" s="43" t="s">
        <v>38</v>
      </c>
      <c r="B34" s="43" t="s">
        <v>39</v>
      </c>
      <c r="C34" s="43" t="s">
        <v>40</v>
      </c>
      <c r="D34" s="44" t="s">
        <v>41</v>
      </c>
      <c r="E34" s="45" t="s">
        <v>42</v>
      </c>
      <c r="F34" s="46" t="s">
        <v>43</v>
      </c>
    </row>
    <row r="35" spans="1:6" x14ac:dyDescent="0.25">
      <c r="A35" s="177"/>
      <c r="B35" s="178" t="s">
        <v>220</v>
      </c>
      <c r="C35" s="179" t="s">
        <v>179</v>
      </c>
      <c r="D35" s="187">
        <v>1</v>
      </c>
      <c r="E35" s="168">
        <f>+'LISTA MAESTRA'!D14</f>
        <v>11484</v>
      </c>
      <c r="F35" s="169">
        <f t="shared" ref="F35:F43" si="1">E35*D35</f>
        <v>11484</v>
      </c>
    </row>
    <row r="36" spans="1:6" x14ac:dyDescent="0.25">
      <c r="A36" s="177"/>
      <c r="B36" s="178" t="s">
        <v>338</v>
      </c>
      <c r="C36" s="179" t="s">
        <v>179</v>
      </c>
      <c r="D36" s="187">
        <v>2</v>
      </c>
      <c r="E36" s="168">
        <f>+'RECETA BASE'!F252</f>
        <v>805.54905643738971</v>
      </c>
      <c r="F36" s="169">
        <f t="shared" si="1"/>
        <v>1611.0981128747794</v>
      </c>
    </row>
    <row r="37" spans="1:6" x14ac:dyDescent="0.25">
      <c r="A37" s="177"/>
      <c r="B37" s="178" t="s">
        <v>216</v>
      </c>
      <c r="C37" s="179" t="s">
        <v>179</v>
      </c>
      <c r="D37" s="187">
        <v>1</v>
      </c>
      <c r="E37" s="168">
        <f>+'RECETA BASE'!F143</f>
        <v>2060.4</v>
      </c>
      <c r="F37" s="169">
        <f t="shared" si="1"/>
        <v>2060.4</v>
      </c>
    </row>
    <row r="38" spans="1:6" x14ac:dyDescent="0.25">
      <c r="A38" s="177"/>
      <c r="B38" s="178" t="s">
        <v>253</v>
      </c>
      <c r="C38" s="179" t="s">
        <v>9</v>
      </c>
      <c r="D38" s="187">
        <v>30</v>
      </c>
      <c r="E38" s="168">
        <f>+'LISTA MAESTRA'!D87</f>
        <v>17.262499999999999</v>
      </c>
      <c r="F38" s="169">
        <f t="shared" si="1"/>
        <v>517.875</v>
      </c>
    </row>
    <row r="39" spans="1:6" x14ac:dyDescent="0.25">
      <c r="A39" s="177"/>
      <c r="B39" s="178" t="s">
        <v>280</v>
      </c>
      <c r="C39" s="179" t="s">
        <v>9</v>
      </c>
      <c r="D39" s="187">
        <v>1</v>
      </c>
      <c r="E39" s="168">
        <f>+'RECETA BASE'!F418</f>
        <v>502.5</v>
      </c>
      <c r="F39" s="169">
        <f t="shared" si="1"/>
        <v>502.5</v>
      </c>
    </row>
    <row r="40" spans="1:6" x14ac:dyDescent="0.25">
      <c r="A40" s="181"/>
      <c r="B40" s="182" t="s">
        <v>339</v>
      </c>
      <c r="C40" s="179" t="s">
        <v>9</v>
      </c>
      <c r="D40" s="188">
        <v>1</v>
      </c>
      <c r="E40" s="169">
        <f>+'LISTA MAESTRA'!D107</f>
        <v>320</v>
      </c>
      <c r="F40" s="169">
        <f t="shared" si="1"/>
        <v>320</v>
      </c>
    </row>
    <row r="41" spans="1:6" x14ac:dyDescent="0.25">
      <c r="A41" s="183"/>
      <c r="B41" s="182" t="s">
        <v>250</v>
      </c>
      <c r="C41" s="179" t="s">
        <v>9</v>
      </c>
      <c r="D41" s="189">
        <v>3</v>
      </c>
      <c r="E41" s="169">
        <f>+'LISTA MAESTRA'!D95</f>
        <v>2.4666666666666668</v>
      </c>
      <c r="F41" s="169">
        <f t="shared" si="1"/>
        <v>7.4</v>
      </c>
    </row>
    <row r="42" spans="1:6" x14ac:dyDescent="0.25">
      <c r="A42" s="183"/>
      <c r="B42" s="182" t="s">
        <v>340</v>
      </c>
      <c r="C42" s="179" t="s">
        <v>20</v>
      </c>
      <c r="D42" s="189">
        <v>30</v>
      </c>
      <c r="E42" s="169">
        <f>+'LISTA MAESTRA'!D115</f>
        <v>30.666666666666668</v>
      </c>
      <c r="F42" s="169">
        <f t="shared" si="1"/>
        <v>920</v>
      </c>
    </row>
    <row r="43" spans="1:6" x14ac:dyDescent="0.25">
      <c r="A43" s="184"/>
      <c r="B43" s="185"/>
      <c r="C43" s="180"/>
      <c r="D43" s="180"/>
      <c r="E43" s="169"/>
      <c r="F43" s="169">
        <f t="shared" si="1"/>
        <v>0</v>
      </c>
    </row>
    <row r="44" spans="1:6" x14ac:dyDescent="0.25">
      <c r="A44" s="304" t="s">
        <v>45</v>
      </c>
      <c r="B44" s="305"/>
      <c r="C44" s="305"/>
      <c r="D44" s="305"/>
      <c r="E44" s="306"/>
      <c r="F44" s="186">
        <f>SUM(F35:F43)</f>
        <v>17423.27311287478</v>
      </c>
    </row>
    <row r="45" spans="1:6" x14ac:dyDescent="0.25">
      <c r="A45" s="246" t="s">
        <v>46</v>
      </c>
      <c r="B45" s="232"/>
      <c r="C45" s="232"/>
      <c r="D45" s="228"/>
      <c r="E45" s="40">
        <v>0</v>
      </c>
      <c r="F45" s="57">
        <f>+F44*E45</f>
        <v>0</v>
      </c>
    </row>
    <row r="46" spans="1:6" x14ac:dyDescent="0.25">
      <c r="A46" s="290" t="s">
        <v>50</v>
      </c>
      <c r="B46" s="232"/>
      <c r="C46" s="232"/>
      <c r="D46" s="232"/>
      <c r="E46" s="228"/>
      <c r="F46" s="58">
        <f>+F44+F45</f>
        <v>17423.27311287478</v>
      </c>
    </row>
    <row r="47" spans="1:6" x14ac:dyDescent="0.25">
      <c r="A47" s="246" t="s">
        <v>51</v>
      </c>
      <c r="B47" s="232"/>
      <c r="C47" s="232"/>
      <c r="D47" s="232"/>
      <c r="E47" s="228"/>
      <c r="F47" s="59">
        <f>+F46/F33</f>
        <v>17423.27311287478</v>
      </c>
    </row>
    <row r="48" spans="1:6" x14ac:dyDescent="0.25">
      <c r="A48" s="290" t="s">
        <v>53</v>
      </c>
      <c r="B48" s="232"/>
      <c r="C48" s="232"/>
      <c r="D48" s="232"/>
      <c r="E48" s="228"/>
      <c r="F48" s="61">
        <v>0.35</v>
      </c>
    </row>
    <row r="49" spans="1:6" ht="15.75" customHeight="1" x14ac:dyDescent="0.25">
      <c r="A49" s="246" t="s">
        <v>54</v>
      </c>
      <c r="B49" s="232"/>
      <c r="C49" s="232"/>
      <c r="D49" s="232"/>
      <c r="E49" s="228"/>
      <c r="F49" s="57">
        <f>+F47/F48</f>
        <v>49780.780322499377</v>
      </c>
    </row>
    <row r="50" spans="1:6" ht="15.75" customHeight="1" x14ac:dyDescent="0.25">
      <c r="A50" s="290" t="s">
        <v>55</v>
      </c>
      <c r="B50" s="232"/>
      <c r="C50" s="232"/>
      <c r="D50" s="232"/>
      <c r="E50" s="228"/>
      <c r="F50" s="56">
        <f>ROUNDUP(F49,-2)</f>
        <v>49800</v>
      </c>
    </row>
    <row r="51" spans="1:6" ht="15.75" customHeight="1" x14ac:dyDescent="0.25">
      <c r="A51" s="293" t="s">
        <v>56</v>
      </c>
      <c r="B51" s="232"/>
      <c r="C51" s="232"/>
      <c r="D51" s="232"/>
      <c r="E51" s="228"/>
      <c r="F51" s="65">
        <f>+F47/F50</f>
        <v>0.34986492194527669</v>
      </c>
    </row>
    <row r="52" spans="1:6" ht="15.75" customHeight="1" x14ac:dyDescent="0.25">
      <c r="A52" s="290" t="s">
        <v>57</v>
      </c>
      <c r="B52" s="232"/>
      <c r="C52" s="232"/>
      <c r="D52" s="228"/>
      <c r="E52" s="66">
        <v>0.08</v>
      </c>
      <c r="F52" s="58">
        <f>+F50*E52</f>
        <v>3984</v>
      </c>
    </row>
    <row r="53" spans="1:6" ht="21" customHeight="1" x14ac:dyDescent="0.25">
      <c r="A53" s="246" t="s">
        <v>58</v>
      </c>
      <c r="B53" s="232"/>
      <c r="C53" s="232"/>
      <c r="D53" s="232"/>
      <c r="E53" s="228"/>
      <c r="F53" s="67">
        <f>+F50+F52</f>
        <v>53784</v>
      </c>
    </row>
    <row r="55" spans="1:6" ht="15.75" thickBot="1" x14ac:dyDescent="0.3"/>
    <row r="56" spans="1:6" ht="15.75" thickBot="1" x14ac:dyDescent="0.3">
      <c r="A56" s="252" t="s">
        <v>118</v>
      </c>
      <c r="B56" s="264"/>
      <c r="C56" s="264"/>
      <c r="D56" s="264"/>
      <c r="E56" s="264"/>
      <c r="F56" s="265"/>
    </row>
    <row r="57" spans="1:6" x14ac:dyDescent="0.25">
      <c r="A57" s="261" t="s">
        <v>178</v>
      </c>
      <c r="B57" s="262"/>
      <c r="C57" s="262"/>
      <c r="D57" s="262"/>
      <c r="E57" s="262"/>
      <c r="F57" s="263"/>
    </row>
    <row r="58" spans="1:6" x14ac:dyDescent="0.25">
      <c r="A58" s="286" t="s">
        <v>59</v>
      </c>
      <c r="B58" s="287"/>
      <c r="C58" s="287"/>
      <c r="D58" s="225"/>
      <c r="E58" s="26" t="s">
        <v>49</v>
      </c>
      <c r="F58" s="27">
        <v>19</v>
      </c>
    </row>
    <row r="59" spans="1:6" x14ac:dyDescent="0.25">
      <c r="A59" s="215"/>
      <c r="B59" s="288"/>
      <c r="C59" s="288"/>
      <c r="D59" s="226"/>
      <c r="E59" s="28" t="s">
        <v>37</v>
      </c>
      <c r="F59" s="29">
        <v>1</v>
      </c>
    </row>
    <row r="60" spans="1:6" x14ac:dyDescent="0.25">
      <c r="A60" s="43" t="s">
        <v>38</v>
      </c>
      <c r="B60" s="43" t="s">
        <v>39</v>
      </c>
      <c r="C60" s="43" t="s">
        <v>40</v>
      </c>
      <c r="D60" s="44" t="s">
        <v>41</v>
      </c>
      <c r="E60" s="45" t="s">
        <v>42</v>
      </c>
      <c r="F60" s="46" t="s">
        <v>43</v>
      </c>
    </row>
    <row r="61" spans="1:6" x14ac:dyDescent="0.25">
      <c r="A61" s="47"/>
      <c r="B61" s="141" t="s">
        <v>221</v>
      </c>
      <c r="C61" s="74" t="s">
        <v>179</v>
      </c>
      <c r="D61" s="50">
        <v>1</v>
      </c>
      <c r="E61" s="166">
        <f>+'LISTA MAESTRA'!D14</f>
        <v>11484</v>
      </c>
      <c r="F61" s="169">
        <f>+E61*D61</f>
        <v>11484</v>
      </c>
    </row>
    <row r="62" spans="1:6" x14ac:dyDescent="0.25">
      <c r="A62" s="47"/>
      <c r="B62" s="141" t="s">
        <v>222</v>
      </c>
      <c r="C62" s="74" t="s">
        <v>179</v>
      </c>
      <c r="D62" s="50">
        <v>0.3</v>
      </c>
      <c r="E62" s="166">
        <f>+'RECETA BASE'!F202</f>
        <v>3239.7929932189991</v>
      </c>
      <c r="F62" s="169">
        <f t="shared" ref="F62:F68" si="2">+E62*D62</f>
        <v>971.93789796569968</v>
      </c>
    </row>
    <row r="63" spans="1:6" x14ac:dyDescent="0.25">
      <c r="A63" s="47"/>
      <c r="B63" s="141" t="s">
        <v>216</v>
      </c>
      <c r="C63" s="74" t="s">
        <v>179</v>
      </c>
      <c r="D63" s="50">
        <v>0.5</v>
      </c>
      <c r="E63" s="166">
        <f>+'RECETA BASE'!F143</f>
        <v>2060.4</v>
      </c>
      <c r="F63" s="169">
        <f t="shared" si="2"/>
        <v>1030.2</v>
      </c>
    </row>
    <row r="64" spans="1:6" x14ac:dyDescent="0.25">
      <c r="A64" s="47"/>
      <c r="B64" s="141" t="s">
        <v>212</v>
      </c>
      <c r="C64" s="74" t="s">
        <v>179</v>
      </c>
      <c r="D64" s="50">
        <v>1</v>
      </c>
      <c r="E64" s="166">
        <f>+'RECETA BASE'!F184</f>
        <v>685.4708333333333</v>
      </c>
      <c r="F64" s="169">
        <f t="shared" si="2"/>
        <v>685.4708333333333</v>
      </c>
    </row>
    <row r="65" spans="1:6" x14ac:dyDescent="0.25">
      <c r="A65" s="47"/>
      <c r="B65" s="141" t="s">
        <v>250</v>
      </c>
      <c r="C65" s="74" t="s">
        <v>9</v>
      </c>
      <c r="D65" s="50">
        <v>3</v>
      </c>
      <c r="E65" s="166">
        <f>+'LISTA MAESTRA'!D95</f>
        <v>2.4666666666666668</v>
      </c>
      <c r="F65" s="169">
        <f t="shared" si="2"/>
        <v>7.4</v>
      </c>
    </row>
    <row r="66" spans="1:6" x14ac:dyDescent="0.25">
      <c r="A66" s="47"/>
      <c r="B66" s="141" t="s">
        <v>284</v>
      </c>
      <c r="C66" s="74" t="s">
        <v>9</v>
      </c>
      <c r="D66" s="50">
        <v>1</v>
      </c>
      <c r="E66" s="166">
        <f>+'LISTA MAESTRA'!D107</f>
        <v>320</v>
      </c>
      <c r="F66" s="169">
        <f t="shared" si="2"/>
        <v>320</v>
      </c>
    </row>
    <row r="67" spans="1:6" x14ac:dyDescent="0.25">
      <c r="A67" s="47"/>
      <c r="B67" s="141" t="s">
        <v>280</v>
      </c>
      <c r="C67" s="74" t="s">
        <v>9</v>
      </c>
      <c r="D67" s="50">
        <v>1</v>
      </c>
      <c r="E67" s="166">
        <f>+'RECETA BASE'!F418</f>
        <v>502.5</v>
      </c>
      <c r="F67" s="169">
        <f t="shared" si="2"/>
        <v>502.5</v>
      </c>
    </row>
    <row r="68" spans="1:6" x14ac:dyDescent="0.25">
      <c r="A68" s="47"/>
      <c r="B68" s="141" t="s">
        <v>253</v>
      </c>
      <c r="C68" s="74" t="s">
        <v>9</v>
      </c>
      <c r="D68" s="50">
        <v>15</v>
      </c>
      <c r="E68" s="166">
        <f>+'LISTA MAESTRA'!D87</f>
        <v>17.262499999999999</v>
      </c>
      <c r="F68" s="169">
        <f t="shared" si="2"/>
        <v>258.9375</v>
      </c>
    </row>
    <row r="69" spans="1:6" x14ac:dyDescent="0.25">
      <c r="A69" s="47"/>
      <c r="B69" s="70"/>
      <c r="C69" s="74"/>
      <c r="D69" s="50"/>
      <c r="E69" s="166"/>
      <c r="F69" s="167"/>
    </row>
    <row r="70" spans="1:6" x14ac:dyDescent="0.25">
      <c r="A70" s="290" t="s">
        <v>45</v>
      </c>
      <c r="B70" s="232"/>
      <c r="C70" s="232"/>
      <c r="D70" s="232"/>
      <c r="E70" s="228"/>
      <c r="F70" s="186">
        <f>SUM(F61:F69)</f>
        <v>15260.446231299033</v>
      </c>
    </row>
    <row r="71" spans="1:6" x14ac:dyDescent="0.25">
      <c r="A71" s="246" t="s">
        <v>46</v>
      </c>
      <c r="B71" s="232"/>
      <c r="C71" s="232"/>
      <c r="D71" s="228"/>
      <c r="E71" s="40">
        <v>0.03</v>
      </c>
      <c r="F71" s="190">
        <f>+F70*E71</f>
        <v>457.81338693897095</v>
      </c>
    </row>
    <row r="72" spans="1:6" x14ac:dyDescent="0.25">
      <c r="A72" s="290" t="s">
        <v>50</v>
      </c>
      <c r="B72" s="232"/>
      <c r="C72" s="232"/>
      <c r="D72" s="232"/>
      <c r="E72" s="228"/>
      <c r="F72" s="191">
        <f>+F70+F71</f>
        <v>15718.259618238004</v>
      </c>
    </row>
    <row r="73" spans="1:6" x14ac:dyDescent="0.25">
      <c r="A73" s="246" t="s">
        <v>51</v>
      </c>
      <c r="B73" s="232"/>
      <c r="C73" s="232"/>
      <c r="D73" s="232"/>
      <c r="E73" s="228"/>
      <c r="F73" s="192">
        <f>+F72/F59</f>
        <v>15718.259618238004</v>
      </c>
    </row>
    <row r="74" spans="1:6" ht="21" customHeight="1" x14ac:dyDescent="0.25">
      <c r="A74" s="290" t="s">
        <v>53</v>
      </c>
      <c r="B74" s="232"/>
      <c r="C74" s="232"/>
      <c r="D74" s="232"/>
      <c r="E74" s="228"/>
      <c r="F74" s="61">
        <v>0.35</v>
      </c>
    </row>
    <row r="75" spans="1:6" x14ac:dyDescent="0.25">
      <c r="A75" s="246" t="s">
        <v>54</v>
      </c>
      <c r="B75" s="232"/>
      <c r="C75" s="232"/>
      <c r="D75" s="232"/>
      <c r="E75" s="228"/>
      <c r="F75" s="57">
        <f>+F73/F74</f>
        <v>44909.313194965725</v>
      </c>
    </row>
    <row r="76" spans="1:6" x14ac:dyDescent="0.25">
      <c r="A76" s="290" t="s">
        <v>55</v>
      </c>
      <c r="B76" s="232"/>
      <c r="C76" s="232"/>
      <c r="D76" s="232"/>
      <c r="E76" s="228"/>
      <c r="F76" s="56">
        <f>ROUNDUP(F75,-2)</f>
        <v>45000</v>
      </c>
    </row>
    <row r="77" spans="1:6" x14ac:dyDescent="0.25">
      <c r="A77" s="293" t="s">
        <v>56</v>
      </c>
      <c r="B77" s="232"/>
      <c r="C77" s="232"/>
      <c r="D77" s="232"/>
      <c r="E77" s="228"/>
      <c r="F77" s="65">
        <f>+F73/F76</f>
        <v>0.34929465818306676</v>
      </c>
    </row>
    <row r="78" spans="1:6" x14ac:dyDescent="0.25">
      <c r="A78" s="290" t="s">
        <v>57</v>
      </c>
      <c r="B78" s="232"/>
      <c r="C78" s="232"/>
      <c r="D78" s="228"/>
      <c r="E78" s="66">
        <v>0.08</v>
      </c>
      <c r="F78" s="58">
        <f>+F76*E78</f>
        <v>3600</v>
      </c>
    </row>
    <row r="79" spans="1:6" x14ac:dyDescent="0.25">
      <c r="A79" s="246" t="s">
        <v>58</v>
      </c>
      <c r="B79" s="232"/>
      <c r="C79" s="232"/>
      <c r="D79" s="232"/>
      <c r="E79" s="228"/>
      <c r="F79" s="67">
        <f>+F76+F78</f>
        <v>48600</v>
      </c>
    </row>
    <row r="80" spans="1:6" ht="15.75" thickBot="1" x14ac:dyDescent="0.3"/>
    <row r="81" spans="1:6" ht="15.75" thickBot="1" x14ac:dyDescent="0.3">
      <c r="A81" s="252" t="s">
        <v>119</v>
      </c>
      <c r="B81" s="264"/>
      <c r="C81" s="264"/>
      <c r="D81" s="264"/>
      <c r="E81" s="264"/>
      <c r="F81" s="265"/>
    </row>
    <row r="82" spans="1:6" x14ac:dyDescent="0.25">
      <c r="A82" s="261" t="s">
        <v>178</v>
      </c>
      <c r="B82" s="262"/>
      <c r="C82" s="262"/>
      <c r="D82" s="262"/>
      <c r="E82" s="262"/>
      <c r="F82" s="263"/>
    </row>
    <row r="83" spans="1:6" x14ac:dyDescent="0.25">
      <c r="A83" s="286" t="s">
        <v>59</v>
      </c>
      <c r="B83" s="287"/>
      <c r="C83" s="287"/>
      <c r="D83" s="225"/>
      <c r="E83" s="26" t="s">
        <v>49</v>
      </c>
      <c r="F83" s="27">
        <v>20</v>
      </c>
    </row>
    <row r="84" spans="1:6" x14ac:dyDescent="0.25">
      <c r="A84" s="215"/>
      <c r="B84" s="288"/>
      <c r="C84" s="288"/>
      <c r="D84" s="226"/>
      <c r="E84" s="28" t="s">
        <v>37</v>
      </c>
      <c r="F84" s="29">
        <v>1</v>
      </c>
    </row>
    <row r="85" spans="1:6" x14ac:dyDescent="0.25">
      <c r="A85" s="43" t="s">
        <v>38</v>
      </c>
      <c r="B85" s="43" t="s">
        <v>39</v>
      </c>
      <c r="C85" s="43" t="s">
        <v>40</v>
      </c>
      <c r="D85" s="44" t="s">
        <v>41</v>
      </c>
      <c r="E85" s="45" t="s">
        <v>42</v>
      </c>
      <c r="F85" s="46" t="s">
        <v>43</v>
      </c>
    </row>
    <row r="86" spans="1:6" x14ac:dyDescent="0.25">
      <c r="A86" s="47"/>
      <c r="B86" s="141" t="s">
        <v>221</v>
      </c>
      <c r="C86" s="74" t="s">
        <v>179</v>
      </c>
      <c r="D86" s="50">
        <v>1</v>
      </c>
      <c r="E86" s="166">
        <f>+'LISTA MAESTRA'!D14</f>
        <v>11484</v>
      </c>
      <c r="F86" s="169">
        <f>+E86*D86</f>
        <v>11484</v>
      </c>
    </row>
    <row r="87" spans="1:6" x14ac:dyDescent="0.25">
      <c r="A87" s="47"/>
      <c r="B87" s="141" t="s">
        <v>223</v>
      </c>
      <c r="C87" s="74" t="s">
        <v>179</v>
      </c>
      <c r="D87" s="50">
        <v>2</v>
      </c>
      <c r="E87" s="166">
        <f>+'RECETA BASE'!F420</f>
        <v>418.75</v>
      </c>
      <c r="F87" s="167">
        <f t="shared" ref="F87:F96" si="3">+E87*D87</f>
        <v>837.5</v>
      </c>
    </row>
    <row r="88" spans="1:6" x14ac:dyDescent="0.25">
      <c r="A88" s="47"/>
      <c r="B88" s="141" t="s">
        <v>216</v>
      </c>
      <c r="C88" s="74" t="s">
        <v>179</v>
      </c>
      <c r="D88" s="50">
        <v>1</v>
      </c>
      <c r="E88" s="166">
        <f>+'RECETA BASE'!F143</f>
        <v>2060.4</v>
      </c>
      <c r="F88" s="167">
        <f t="shared" si="3"/>
        <v>2060.4</v>
      </c>
    </row>
    <row r="89" spans="1:6" x14ac:dyDescent="0.25">
      <c r="A89" s="47"/>
      <c r="B89" s="141" t="s">
        <v>212</v>
      </c>
      <c r="C89" s="74" t="s">
        <v>179</v>
      </c>
      <c r="D89" s="50">
        <v>1</v>
      </c>
      <c r="E89" s="166">
        <f>+'RECETA BASE'!F184</f>
        <v>685.4708333333333</v>
      </c>
      <c r="F89" s="167">
        <f t="shared" si="3"/>
        <v>685.4708333333333</v>
      </c>
    </row>
    <row r="90" spans="1:6" x14ac:dyDescent="0.25">
      <c r="A90" s="47"/>
      <c r="B90" s="141" t="s">
        <v>250</v>
      </c>
      <c r="C90" s="74" t="s">
        <v>9</v>
      </c>
      <c r="D90" s="50">
        <v>3</v>
      </c>
      <c r="E90" s="166">
        <f>+'LISTA MAESTRA'!D95</f>
        <v>2.4666666666666668</v>
      </c>
      <c r="F90" s="167">
        <f t="shared" si="3"/>
        <v>7.4</v>
      </c>
    </row>
    <row r="91" spans="1:6" x14ac:dyDescent="0.25">
      <c r="A91" s="47"/>
      <c r="B91" s="141" t="s">
        <v>284</v>
      </c>
      <c r="C91" s="74" t="s">
        <v>9</v>
      </c>
      <c r="D91" s="50">
        <v>1</v>
      </c>
      <c r="E91" s="166">
        <f>+'LISTA MAESTRA'!D107</f>
        <v>320</v>
      </c>
      <c r="F91" s="167">
        <f t="shared" si="3"/>
        <v>320</v>
      </c>
    </row>
    <row r="92" spans="1:6" x14ac:dyDescent="0.25">
      <c r="A92" s="47"/>
      <c r="B92" s="141" t="s">
        <v>391</v>
      </c>
      <c r="C92" s="74" t="s">
        <v>9</v>
      </c>
      <c r="D92" s="50">
        <v>100</v>
      </c>
      <c r="E92" s="166">
        <f>+'LISTA MAESTRA'!D48</f>
        <v>3.7</v>
      </c>
      <c r="F92" s="167">
        <f t="shared" si="3"/>
        <v>370</v>
      </c>
    </row>
    <row r="93" spans="1:6" x14ac:dyDescent="0.25">
      <c r="A93" s="47"/>
      <c r="B93" s="141" t="s">
        <v>392</v>
      </c>
      <c r="C93" s="74" t="s">
        <v>20</v>
      </c>
      <c r="D93" s="50">
        <v>30</v>
      </c>
      <c r="E93" s="166">
        <f>+'LISTA MAESTRA'!D115</f>
        <v>30.666666666666668</v>
      </c>
      <c r="F93" s="167">
        <f t="shared" si="3"/>
        <v>920</v>
      </c>
    </row>
    <row r="94" spans="1:6" ht="15.75" customHeight="1" x14ac:dyDescent="0.25">
      <c r="A94" s="47"/>
      <c r="B94" s="141" t="s">
        <v>280</v>
      </c>
      <c r="C94" s="74" t="s">
        <v>9</v>
      </c>
      <c r="D94" s="50"/>
      <c r="E94" s="166"/>
      <c r="F94" s="167">
        <f t="shared" si="3"/>
        <v>0</v>
      </c>
    </row>
    <row r="95" spans="1:6" ht="21" customHeight="1" x14ac:dyDescent="0.25">
      <c r="A95" s="47"/>
      <c r="B95" s="141" t="s">
        <v>330</v>
      </c>
      <c r="C95" s="74" t="s">
        <v>9</v>
      </c>
      <c r="D95" s="50">
        <v>100</v>
      </c>
      <c r="E95" s="166">
        <f>+'LISTA MAESTRA'!D73</f>
        <v>20.229885057471265</v>
      </c>
      <c r="F95" s="167">
        <f t="shared" si="3"/>
        <v>2022.9885057471265</v>
      </c>
    </row>
    <row r="96" spans="1:6" x14ac:dyDescent="0.25">
      <c r="A96" s="47"/>
      <c r="B96" s="141" t="s">
        <v>336</v>
      </c>
      <c r="C96" s="74" t="s">
        <v>9</v>
      </c>
      <c r="D96" s="50"/>
      <c r="E96" s="166"/>
      <c r="F96" s="167">
        <f t="shared" si="3"/>
        <v>0</v>
      </c>
    </row>
    <row r="97" spans="1:6" x14ac:dyDescent="0.25">
      <c r="A97" s="55"/>
      <c r="B97" s="48"/>
      <c r="C97" s="49"/>
      <c r="D97" s="50"/>
      <c r="E97" s="170"/>
      <c r="F97" s="167"/>
    </row>
    <row r="98" spans="1:6" x14ac:dyDescent="0.25">
      <c r="A98" s="290" t="s">
        <v>45</v>
      </c>
      <c r="B98" s="232"/>
      <c r="C98" s="232"/>
      <c r="D98" s="232"/>
      <c r="E98" s="228"/>
      <c r="F98" s="56">
        <f>SUM(F86:F97)</f>
        <v>18707.759339080458</v>
      </c>
    </row>
    <row r="99" spans="1:6" x14ac:dyDescent="0.25">
      <c r="A99" s="246" t="s">
        <v>46</v>
      </c>
      <c r="B99" s="232"/>
      <c r="C99" s="232"/>
      <c r="D99" s="228"/>
      <c r="E99" s="40">
        <v>0</v>
      </c>
      <c r="F99" s="57">
        <f>+F98*E99</f>
        <v>0</v>
      </c>
    </row>
    <row r="100" spans="1:6" x14ac:dyDescent="0.25">
      <c r="A100" s="290" t="s">
        <v>50</v>
      </c>
      <c r="B100" s="232"/>
      <c r="C100" s="232"/>
      <c r="D100" s="232"/>
      <c r="E100" s="228"/>
      <c r="F100" s="58">
        <f>+F98+F99</f>
        <v>18707.759339080458</v>
      </c>
    </row>
    <row r="101" spans="1:6" x14ac:dyDescent="0.25">
      <c r="A101" s="246" t="s">
        <v>51</v>
      </c>
      <c r="B101" s="232"/>
      <c r="C101" s="232"/>
      <c r="D101" s="232"/>
      <c r="E101" s="228"/>
      <c r="F101" s="59">
        <f>+F100/F84</f>
        <v>18707.759339080458</v>
      </c>
    </row>
    <row r="102" spans="1:6" x14ac:dyDescent="0.25">
      <c r="A102" s="290" t="s">
        <v>53</v>
      </c>
      <c r="B102" s="232"/>
      <c r="C102" s="232"/>
      <c r="D102" s="232"/>
      <c r="E102" s="228"/>
      <c r="F102" s="61">
        <v>0.35</v>
      </c>
    </row>
    <row r="103" spans="1:6" x14ac:dyDescent="0.25">
      <c r="A103" s="246" t="s">
        <v>54</v>
      </c>
      <c r="B103" s="232"/>
      <c r="C103" s="232"/>
      <c r="D103" s="232"/>
      <c r="E103" s="228"/>
      <c r="F103" s="57">
        <f>+F101/F102</f>
        <v>53450.740968801314</v>
      </c>
    </row>
    <row r="104" spans="1:6" x14ac:dyDescent="0.25">
      <c r="A104" s="290" t="s">
        <v>55</v>
      </c>
      <c r="B104" s="232"/>
      <c r="C104" s="232"/>
      <c r="D104" s="232"/>
      <c r="E104" s="228"/>
      <c r="F104" s="56">
        <f>ROUNDUP(F103,-2)</f>
        <v>53500</v>
      </c>
    </row>
    <row r="105" spans="1:6" x14ac:dyDescent="0.25">
      <c r="A105" s="293" t="s">
        <v>56</v>
      </c>
      <c r="B105" s="232"/>
      <c r="C105" s="232"/>
      <c r="D105" s="232"/>
      <c r="E105" s="228"/>
      <c r="F105" s="65">
        <f>+F101/F104</f>
        <v>0.3496777446557095</v>
      </c>
    </row>
    <row r="106" spans="1:6" x14ac:dyDescent="0.25">
      <c r="A106" s="290" t="s">
        <v>57</v>
      </c>
      <c r="B106" s="232"/>
      <c r="C106" s="232"/>
      <c r="D106" s="228"/>
      <c r="E106" s="66">
        <v>0.08</v>
      </c>
      <c r="F106" s="58">
        <f>+F104*E106</f>
        <v>4280</v>
      </c>
    </row>
    <row r="107" spans="1:6" x14ac:dyDescent="0.25">
      <c r="A107" s="246" t="s">
        <v>58</v>
      </c>
      <c r="B107" s="232"/>
      <c r="C107" s="232"/>
      <c r="D107" s="232"/>
      <c r="E107" s="228"/>
      <c r="F107" s="67">
        <f>+F104+F106</f>
        <v>57780</v>
      </c>
    </row>
    <row r="108" spans="1:6" ht="15.75" thickBot="1" x14ac:dyDescent="0.3"/>
    <row r="109" spans="1:6" ht="15.75" thickBot="1" x14ac:dyDescent="0.3">
      <c r="A109" s="252" t="s">
        <v>224</v>
      </c>
      <c r="B109" s="264"/>
      <c r="C109" s="264"/>
      <c r="D109" s="264"/>
      <c r="E109" s="264"/>
      <c r="F109" s="265"/>
    </row>
    <row r="110" spans="1:6" x14ac:dyDescent="0.25">
      <c r="A110" s="261" t="s">
        <v>178</v>
      </c>
      <c r="B110" s="262"/>
      <c r="C110" s="262"/>
      <c r="D110" s="262"/>
      <c r="E110" s="262"/>
      <c r="F110" s="263"/>
    </row>
    <row r="111" spans="1:6" x14ac:dyDescent="0.25">
      <c r="A111" s="286" t="s">
        <v>59</v>
      </c>
      <c r="B111" s="287"/>
      <c r="C111" s="287"/>
      <c r="D111" s="225"/>
      <c r="E111" s="26" t="s">
        <v>49</v>
      </c>
      <c r="F111" s="27">
        <v>21</v>
      </c>
    </row>
    <row r="112" spans="1:6" x14ac:dyDescent="0.25">
      <c r="A112" s="215"/>
      <c r="B112" s="288"/>
      <c r="C112" s="288"/>
      <c r="D112" s="226"/>
      <c r="E112" s="28" t="s">
        <v>37</v>
      </c>
      <c r="F112" s="29">
        <v>1</v>
      </c>
    </row>
    <row r="113" spans="1:6" x14ac:dyDescent="0.25">
      <c r="A113" s="43" t="s">
        <v>38</v>
      </c>
      <c r="B113" s="43" t="s">
        <v>39</v>
      </c>
      <c r="C113" s="43" t="s">
        <v>40</v>
      </c>
      <c r="D113" s="44" t="s">
        <v>41</v>
      </c>
      <c r="E113" s="45" t="s">
        <v>42</v>
      </c>
      <c r="F113" s="46" t="s">
        <v>43</v>
      </c>
    </row>
    <row r="114" spans="1:6" x14ac:dyDescent="0.25">
      <c r="A114" s="47"/>
      <c r="B114" s="70" t="s">
        <v>221</v>
      </c>
      <c r="C114" s="74" t="s">
        <v>179</v>
      </c>
      <c r="D114" s="50">
        <v>1</v>
      </c>
      <c r="E114" s="166">
        <f>+'LISTA MAESTRA'!D14</f>
        <v>11484</v>
      </c>
      <c r="F114" s="169">
        <f>+D114*E114</f>
        <v>11484</v>
      </c>
    </row>
    <row r="115" spans="1:6" ht="15.75" customHeight="1" x14ac:dyDescent="0.25">
      <c r="A115" s="47"/>
      <c r="B115" s="70" t="s">
        <v>330</v>
      </c>
      <c r="C115" s="74" t="s">
        <v>9</v>
      </c>
      <c r="D115" s="50">
        <v>100</v>
      </c>
      <c r="E115" s="166">
        <f>+'LISTA MAESTRA'!D73</f>
        <v>20.229885057471265</v>
      </c>
      <c r="F115" s="169">
        <f t="shared" ref="F115:F124" si="4">+D115*E115</f>
        <v>2022.9885057471265</v>
      </c>
    </row>
    <row r="116" spans="1:6" ht="21" customHeight="1" x14ac:dyDescent="0.25">
      <c r="A116" s="47"/>
      <c r="B116" s="70" t="s">
        <v>225</v>
      </c>
      <c r="C116" s="74" t="s">
        <v>179</v>
      </c>
      <c r="D116" s="49">
        <v>0.5</v>
      </c>
      <c r="E116" s="166">
        <f>+'RECETA BASE'!F107</f>
        <v>4971.8239999999996</v>
      </c>
      <c r="F116" s="169">
        <f t="shared" si="4"/>
        <v>2485.9119999999998</v>
      </c>
    </row>
    <row r="117" spans="1:6" x14ac:dyDescent="0.25">
      <c r="A117" s="47"/>
      <c r="B117" s="70" t="s">
        <v>212</v>
      </c>
      <c r="C117" s="74" t="s">
        <v>179</v>
      </c>
      <c r="D117" s="50">
        <v>1</v>
      </c>
      <c r="E117" s="166">
        <f>+'RECETA BASE'!F184</f>
        <v>685.4708333333333</v>
      </c>
      <c r="F117" s="169">
        <f t="shared" si="4"/>
        <v>685.4708333333333</v>
      </c>
    </row>
    <row r="118" spans="1:6" x14ac:dyDescent="0.25">
      <c r="A118" s="47"/>
      <c r="B118" s="70" t="s">
        <v>341</v>
      </c>
      <c r="C118" s="74" t="s">
        <v>179</v>
      </c>
      <c r="D118" s="50">
        <v>1</v>
      </c>
      <c r="E118" s="193" t="s">
        <v>419</v>
      </c>
      <c r="F118" s="169"/>
    </row>
    <row r="119" spans="1:6" x14ac:dyDescent="0.25">
      <c r="A119" s="47"/>
      <c r="B119" s="70" t="s">
        <v>393</v>
      </c>
      <c r="C119" s="74" t="s">
        <v>9</v>
      </c>
      <c r="D119" s="50">
        <v>100</v>
      </c>
      <c r="E119" s="166">
        <f>+'LISTA MAESTRA'!D45</f>
        <v>6.8</v>
      </c>
      <c r="F119" s="169">
        <f t="shared" si="4"/>
        <v>680</v>
      </c>
    </row>
    <row r="120" spans="1:6" x14ac:dyDescent="0.25">
      <c r="A120" s="47"/>
      <c r="B120" s="70" t="s">
        <v>253</v>
      </c>
      <c r="C120" s="74" t="s">
        <v>9</v>
      </c>
      <c r="D120" s="50">
        <v>35</v>
      </c>
      <c r="E120" s="166">
        <f>+'LISTA MAESTRA'!D87</f>
        <v>17.262499999999999</v>
      </c>
      <c r="F120" s="169">
        <f t="shared" si="4"/>
        <v>604.1875</v>
      </c>
    </row>
    <row r="121" spans="1:6" x14ac:dyDescent="0.25">
      <c r="A121" s="47"/>
      <c r="B121" s="70" t="s">
        <v>310</v>
      </c>
      <c r="C121" s="74" t="s">
        <v>9</v>
      </c>
      <c r="D121" s="50">
        <v>1</v>
      </c>
      <c r="E121" s="166">
        <f>+'LISTA MAESTRA'!D95</f>
        <v>2.4666666666666668</v>
      </c>
      <c r="F121" s="169">
        <f t="shared" si="4"/>
        <v>2.4666666666666668</v>
      </c>
    </row>
    <row r="122" spans="1:6" x14ac:dyDescent="0.25">
      <c r="A122" s="47"/>
      <c r="B122" s="70" t="s">
        <v>284</v>
      </c>
      <c r="C122" s="74" t="s">
        <v>9</v>
      </c>
      <c r="D122" s="50">
        <v>1</v>
      </c>
      <c r="E122" s="166">
        <f>+'LISTA MAESTRA'!D107</f>
        <v>320</v>
      </c>
      <c r="F122" s="169">
        <f t="shared" si="4"/>
        <v>320</v>
      </c>
    </row>
    <row r="123" spans="1:6" x14ac:dyDescent="0.25">
      <c r="A123" s="47"/>
      <c r="B123" s="70" t="s">
        <v>388</v>
      </c>
      <c r="C123" s="74" t="s">
        <v>20</v>
      </c>
      <c r="D123" s="50">
        <v>35</v>
      </c>
      <c r="E123" s="166">
        <f>+'LISTA MAESTRA'!D115</f>
        <v>30.666666666666668</v>
      </c>
      <c r="F123" s="169">
        <f t="shared" si="4"/>
        <v>1073.3333333333335</v>
      </c>
    </row>
    <row r="124" spans="1:6" x14ac:dyDescent="0.25">
      <c r="A124" s="47"/>
      <c r="B124" s="70" t="s">
        <v>342</v>
      </c>
      <c r="C124" s="74" t="s">
        <v>9</v>
      </c>
      <c r="D124" s="50">
        <v>10</v>
      </c>
      <c r="E124" s="166">
        <f>+'LISTA MAESTRA'!D114</f>
        <v>72.5</v>
      </c>
      <c r="F124" s="169">
        <f t="shared" si="4"/>
        <v>725</v>
      </c>
    </row>
    <row r="125" spans="1:6" x14ac:dyDescent="0.25">
      <c r="A125" s="47"/>
      <c r="B125" s="70"/>
      <c r="C125" s="74"/>
      <c r="D125" s="50"/>
      <c r="E125" s="78"/>
      <c r="F125" s="52"/>
    </row>
    <row r="126" spans="1:6" x14ac:dyDescent="0.25">
      <c r="A126" s="290" t="s">
        <v>45</v>
      </c>
      <c r="B126" s="232"/>
      <c r="C126" s="232"/>
      <c r="D126" s="232"/>
      <c r="E126" s="228"/>
      <c r="F126" s="56">
        <f>SUM(F114:F125)</f>
        <v>20083.358839080458</v>
      </c>
    </row>
    <row r="127" spans="1:6" x14ac:dyDescent="0.25">
      <c r="A127" s="246" t="s">
        <v>46</v>
      </c>
      <c r="B127" s="232"/>
      <c r="C127" s="232"/>
      <c r="D127" s="228"/>
      <c r="E127" s="40">
        <v>0</v>
      </c>
      <c r="F127" s="57">
        <f>+F126*E127</f>
        <v>0</v>
      </c>
    </row>
    <row r="128" spans="1:6" x14ac:dyDescent="0.25">
      <c r="A128" s="290" t="s">
        <v>50</v>
      </c>
      <c r="B128" s="232"/>
      <c r="C128" s="232"/>
      <c r="D128" s="232"/>
      <c r="E128" s="228"/>
      <c r="F128" s="58">
        <f>+F126+F127</f>
        <v>20083.358839080458</v>
      </c>
    </row>
    <row r="129" spans="1:6" x14ac:dyDescent="0.25">
      <c r="A129" s="246" t="s">
        <v>51</v>
      </c>
      <c r="B129" s="232"/>
      <c r="C129" s="232"/>
      <c r="D129" s="232"/>
      <c r="E129" s="228"/>
      <c r="F129" s="59">
        <f>+F128/F112</f>
        <v>20083.358839080458</v>
      </c>
    </row>
    <row r="130" spans="1:6" x14ac:dyDescent="0.25">
      <c r="A130" s="290" t="s">
        <v>53</v>
      </c>
      <c r="B130" s="232"/>
      <c r="C130" s="232"/>
      <c r="D130" s="232"/>
      <c r="E130" s="228"/>
      <c r="F130" s="61">
        <v>0.35</v>
      </c>
    </row>
    <row r="131" spans="1:6" x14ac:dyDescent="0.25">
      <c r="A131" s="246" t="s">
        <v>54</v>
      </c>
      <c r="B131" s="232"/>
      <c r="C131" s="232"/>
      <c r="D131" s="232"/>
      <c r="E131" s="228"/>
      <c r="F131" s="57">
        <f>+F129/F130</f>
        <v>57381.025254515596</v>
      </c>
    </row>
    <row r="132" spans="1:6" x14ac:dyDescent="0.25">
      <c r="A132" s="290" t="s">
        <v>55</v>
      </c>
      <c r="B132" s="232"/>
      <c r="C132" s="232"/>
      <c r="D132" s="232"/>
      <c r="E132" s="228"/>
      <c r="F132" s="56">
        <f>ROUNDUP(F131,-2)</f>
        <v>57400</v>
      </c>
    </row>
    <row r="133" spans="1:6" x14ac:dyDescent="0.25">
      <c r="A133" s="293" t="s">
        <v>56</v>
      </c>
      <c r="B133" s="232"/>
      <c r="C133" s="232"/>
      <c r="D133" s="232"/>
      <c r="E133" s="228"/>
      <c r="F133" s="65">
        <f>+F129/F132</f>
        <v>0.34988430033241213</v>
      </c>
    </row>
    <row r="134" spans="1:6" ht="15.75" customHeight="1" x14ac:dyDescent="0.25">
      <c r="A134" s="290" t="s">
        <v>57</v>
      </c>
      <c r="B134" s="232"/>
      <c r="C134" s="232"/>
      <c r="D134" s="228"/>
      <c r="E134" s="66">
        <v>0.08</v>
      </c>
      <c r="F134" s="58">
        <f>+F132*E134</f>
        <v>4592</v>
      </c>
    </row>
    <row r="135" spans="1:6" ht="15.75" customHeight="1" x14ac:dyDescent="0.25">
      <c r="A135" s="246" t="s">
        <v>58</v>
      </c>
      <c r="B135" s="232"/>
      <c r="C135" s="232"/>
      <c r="D135" s="232"/>
      <c r="E135" s="228"/>
      <c r="F135" s="67">
        <f>+F132+F134</f>
        <v>61992</v>
      </c>
    </row>
    <row r="136" spans="1:6" ht="15.75" customHeight="1" thickBot="1" x14ac:dyDescent="0.3"/>
    <row r="137" spans="1:6" ht="15.75" customHeight="1" thickBot="1" x14ac:dyDescent="0.3">
      <c r="A137" s="252" t="s">
        <v>121</v>
      </c>
      <c r="B137" s="264"/>
      <c r="C137" s="264"/>
      <c r="D137" s="264"/>
      <c r="E137" s="264"/>
      <c r="F137" s="265"/>
    </row>
    <row r="138" spans="1:6" ht="15.75" customHeight="1" x14ac:dyDescent="0.25">
      <c r="A138" s="261" t="s">
        <v>178</v>
      </c>
      <c r="B138" s="262"/>
      <c r="C138" s="262"/>
      <c r="D138" s="262"/>
      <c r="E138" s="262"/>
      <c r="F138" s="263"/>
    </row>
    <row r="139" spans="1:6" ht="15.75" customHeight="1" x14ac:dyDescent="0.25">
      <c r="A139" s="286" t="s">
        <v>59</v>
      </c>
      <c r="B139" s="287"/>
      <c r="C139" s="287"/>
      <c r="D139" s="225"/>
      <c r="E139" s="26" t="s">
        <v>49</v>
      </c>
      <c r="F139" s="27">
        <v>22</v>
      </c>
    </row>
    <row r="140" spans="1:6" ht="15.75" customHeight="1" x14ac:dyDescent="0.25">
      <c r="A140" s="215"/>
      <c r="B140" s="288"/>
      <c r="C140" s="288"/>
      <c r="D140" s="226"/>
      <c r="E140" s="28" t="s">
        <v>37</v>
      </c>
      <c r="F140" s="29">
        <v>1</v>
      </c>
    </row>
    <row r="141" spans="1:6" ht="15.75" customHeight="1" x14ac:dyDescent="0.25">
      <c r="A141" s="43" t="s">
        <v>38</v>
      </c>
      <c r="B141" s="43" t="s">
        <v>39</v>
      </c>
      <c r="C141" s="43" t="s">
        <v>40</v>
      </c>
      <c r="D141" s="44" t="s">
        <v>41</v>
      </c>
      <c r="E141" s="45" t="s">
        <v>42</v>
      </c>
      <c r="F141" s="46" t="s">
        <v>43</v>
      </c>
    </row>
    <row r="142" spans="1:6" ht="15.75" customHeight="1" x14ac:dyDescent="0.25">
      <c r="A142" s="47"/>
      <c r="B142" s="139" t="s">
        <v>221</v>
      </c>
      <c r="C142" s="74" t="s">
        <v>179</v>
      </c>
      <c r="D142" s="50">
        <v>1</v>
      </c>
      <c r="E142" s="168">
        <f>+'LISTA MAESTRA'!D14</f>
        <v>11484</v>
      </c>
      <c r="F142" s="169">
        <f>+E142*D142</f>
        <v>11484</v>
      </c>
    </row>
    <row r="143" spans="1:6" ht="15.75" customHeight="1" x14ac:dyDescent="0.25">
      <c r="A143" s="47"/>
      <c r="B143" s="139" t="s">
        <v>343</v>
      </c>
      <c r="C143" s="74" t="s">
        <v>179</v>
      </c>
      <c r="D143" s="50">
        <v>1</v>
      </c>
      <c r="E143" s="168">
        <f>+'RECETA BASE'!F382</f>
        <v>3244.02</v>
      </c>
      <c r="F143" s="169">
        <f t="shared" ref="F143:F153" si="5">+E143*D143</f>
        <v>3244.02</v>
      </c>
    </row>
    <row r="144" spans="1:6" ht="15.75" customHeight="1" x14ac:dyDescent="0.25">
      <c r="A144" s="47"/>
      <c r="B144" s="139" t="s">
        <v>225</v>
      </c>
      <c r="C144" s="74" t="s">
        <v>179</v>
      </c>
      <c r="D144" s="49">
        <v>0.5</v>
      </c>
      <c r="E144" s="168">
        <f>+'RECETA BASE'!F107</f>
        <v>4971.8239999999996</v>
      </c>
      <c r="F144" s="169">
        <f t="shared" si="5"/>
        <v>2485.9119999999998</v>
      </c>
    </row>
    <row r="145" spans="1:6" ht="15.75" customHeight="1" x14ac:dyDescent="0.25">
      <c r="A145" s="47"/>
      <c r="B145" s="139" t="s">
        <v>226</v>
      </c>
      <c r="C145" s="74" t="s">
        <v>9</v>
      </c>
      <c r="D145" s="50">
        <v>100</v>
      </c>
      <c r="E145" s="168">
        <f>+'LISTA MAESTRA'!D122</f>
        <v>6.3</v>
      </c>
      <c r="F145" s="169">
        <f t="shared" si="5"/>
        <v>630</v>
      </c>
    </row>
    <row r="146" spans="1:6" ht="15.75" customHeight="1" x14ac:dyDescent="0.25">
      <c r="A146" s="47"/>
      <c r="B146" s="139" t="s">
        <v>369</v>
      </c>
      <c r="C146" s="74" t="s">
        <v>9</v>
      </c>
      <c r="D146" s="50">
        <v>100</v>
      </c>
      <c r="E146" s="168">
        <f>+'LISTA MAESTRA'!D48</f>
        <v>3.7</v>
      </c>
      <c r="F146" s="169">
        <f t="shared" si="5"/>
        <v>370</v>
      </c>
    </row>
    <row r="147" spans="1:6" ht="15.75" customHeight="1" x14ac:dyDescent="0.25">
      <c r="A147" s="47"/>
      <c r="B147" s="139" t="s">
        <v>249</v>
      </c>
      <c r="C147" s="74" t="s">
        <v>9</v>
      </c>
      <c r="D147" s="50">
        <v>100</v>
      </c>
      <c r="E147" s="168">
        <f>+'LISTA MAESTRA'!D60</f>
        <v>10.6</v>
      </c>
      <c r="F147" s="169">
        <f t="shared" si="5"/>
        <v>1060</v>
      </c>
    </row>
    <row r="148" spans="1:6" ht="15.75" customHeight="1" x14ac:dyDescent="0.25">
      <c r="A148" s="47"/>
      <c r="B148" s="139" t="s">
        <v>280</v>
      </c>
      <c r="C148" s="74" t="s">
        <v>179</v>
      </c>
      <c r="D148" s="50">
        <v>1</v>
      </c>
      <c r="E148" s="168">
        <f>+'RECETA BASE'!F420</f>
        <v>418.75</v>
      </c>
      <c r="F148" s="169">
        <f t="shared" si="5"/>
        <v>418.75</v>
      </c>
    </row>
    <row r="149" spans="1:6" ht="15.75" customHeight="1" x14ac:dyDescent="0.25">
      <c r="A149" s="47"/>
      <c r="B149" s="139" t="s">
        <v>348</v>
      </c>
      <c r="C149" s="74" t="s">
        <v>9</v>
      </c>
      <c r="D149" s="50">
        <v>100</v>
      </c>
      <c r="E149" s="168">
        <f>+'LISTA MAESTRA'!D73</f>
        <v>20.229885057471265</v>
      </c>
      <c r="F149" s="169">
        <f t="shared" si="5"/>
        <v>2022.9885057471265</v>
      </c>
    </row>
    <row r="150" spans="1:6" ht="15.75" customHeight="1" x14ac:dyDescent="0.25">
      <c r="A150" s="47"/>
      <c r="B150" s="139" t="s">
        <v>341</v>
      </c>
      <c r="C150" s="74" t="s">
        <v>394</v>
      </c>
      <c r="D150" s="50"/>
      <c r="E150" s="168"/>
      <c r="F150" s="169">
        <f t="shared" si="5"/>
        <v>0</v>
      </c>
    </row>
    <row r="151" spans="1:6" ht="15.75" customHeight="1" x14ac:dyDescent="0.25">
      <c r="A151" s="47"/>
      <c r="B151" s="139" t="s">
        <v>247</v>
      </c>
      <c r="C151" s="74" t="s">
        <v>9</v>
      </c>
      <c r="D151" s="50">
        <v>10</v>
      </c>
      <c r="E151" s="168">
        <f>+'LISTA MAESTRA'!D62</f>
        <v>3.4</v>
      </c>
      <c r="F151" s="169">
        <f t="shared" si="5"/>
        <v>34</v>
      </c>
    </row>
    <row r="152" spans="1:6" ht="15.75" customHeight="1" x14ac:dyDescent="0.25">
      <c r="A152" s="47"/>
      <c r="B152" s="139" t="s">
        <v>253</v>
      </c>
      <c r="C152" s="74" t="s">
        <v>9</v>
      </c>
      <c r="D152" s="50">
        <v>30</v>
      </c>
      <c r="E152" s="168">
        <f>+'LISTA MAESTRA'!D87</f>
        <v>17.262499999999999</v>
      </c>
      <c r="F152" s="169">
        <f t="shared" si="5"/>
        <v>517.875</v>
      </c>
    </row>
    <row r="153" spans="1:6" ht="15.75" customHeight="1" x14ac:dyDescent="0.25">
      <c r="A153" s="47"/>
      <c r="B153" s="139"/>
      <c r="C153" s="74"/>
      <c r="D153" s="50"/>
      <c r="E153" s="168"/>
      <c r="F153" s="169">
        <f t="shared" si="5"/>
        <v>0</v>
      </c>
    </row>
    <row r="154" spans="1:6" ht="15.75" customHeight="1" x14ac:dyDescent="0.25">
      <c r="A154" s="55"/>
      <c r="B154" s="48"/>
      <c r="C154" s="49"/>
      <c r="D154" s="50"/>
      <c r="E154" s="50"/>
      <c r="F154" s="52"/>
    </row>
    <row r="155" spans="1:6" ht="15.75" customHeight="1" x14ac:dyDescent="0.25">
      <c r="A155" s="290" t="s">
        <v>45</v>
      </c>
      <c r="B155" s="232"/>
      <c r="C155" s="232"/>
      <c r="D155" s="232"/>
      <c r="E155" s="228"/>
      <c r="F155" s="56">
        <f>SUM(F142:F154)</f>
        <v>22267.545505747126</v>
      </c>
    </row>
    <row r="156" spans="1:6" ht="15.75" customHeight="1" x14ac:dyDescent="0.25">
      <c r="A156" s="246" t="s">
        <v>46</v>
      </c>
      <c r="B156" s="232"/>
      <c r="C156" s="232"/>
      <c r="D156" s="228"/>
      <c r="E156" s="40">
        <v>0</v>
      </c>
      <c r="F156" s="57">
        <f>+F155*E156</f>
        <v>0</v>
      </c>
    </row>
    <row r="157" spans="1:6" ht="15.75" customHeight="1" x14ac:dyDescent="0.25">
      <c r="A157" s="290" t="s">
        <v>50</v>
      </c>
      <c r="B157" s="232"/>
      <c r="C157" s="232"/>
      <c r="D157" s="232"/>
      <c r="E157" s="228"/>
      <c r="F157" s="58">
        <f>+F155+F156</f>
        <v>22267.545505747126</v>
      </c>
    </row>
    <row r="158" spans="1:6" ht="15.75" customHeight="1" x14ac:dyDescent="0.25">
      <c r="A158" s="246" t="s">
        <v>51</v>
      </c>
      <c r="B158" s="232"/>
      <c r="C158" s="232"/>
      <c r="D158" s="232"/>
      <c r="E158" s="228"/>
      <c r="F158" s="59">
        <f>+F157/F140</f>
        <v>22267.545505747126</v>
      </c>
    </row>
    <row r="159" spans="1:6" ht="15.75" customHeight="1" x14ac:dyDescent="0.25">
      <c r="A159" s="290" t="s">
        <v>53</v>
      </c>
      <c r="B159" s="232"/>
      <c r="C159" s="232"/>
      <c r="D159" s="232"/>
      <c r="E159" s="228"/>
      <c r="F159" s="61">
        <v>0.35</v>
      </c>
    </row>
    <row r="160" spans="1:6" ht="15.75" customHeight="1" x14ac:dyDescent="0.25">
      <c r="A160" s="246" t="s">
        <v>54</v>
      </c>
      <c r="B160" s="232"/>
      <c r="C160" s="232"/>
      <c r="D160" s="232"/>
      <c r="E160" s="228"/>
      <c r="F160" s="57">
        <f>+F158/F159</f>
        <v>63621.558587848936</v>
      </c>
    </row>
    <row r="161" spans="1:6" ht="15.75" customHeight="1" x14ac:dyDescent="0.25">
      <c r="A161" s="290" t="s">
        <v>55</v>
      </c>
      <c r="B161" s="232"/>
      <c r="C161" s="232"/>
      <c r="D161" s="232"/>
      <c r="E161" s="228"/>
      <c r="F161" s="56">
        <f>ROUNDUP(F160,-2)</f>
        <v>63700</v>
      </c>
    </row>
    <row r="162" spans="1:6" ht="15.75" customHeight="1" x14ac:dyDescent="0.25">
      <c r="A162" s="293" t="s">
        <v>56</v>
      </c>
      <c r="B162" s="232"/>
      <c r="C162" s="232"/>
      <c r="D162" s="232"/>
      <c r="E162" s="228"/>
      <c r="F162" s="65">
        <f>+F158/F161</f>
        <v>0.34956900322993917</v>
      </c>
    </row>
    <row r="163" spans="1:6" ht="15.75" customHeight="1" x14ac:dyDescent="0.25">
      <c r="A163" s="290" t="s">
        <v>57</v>
      </c>
      <c r="B163" s="232"/>
      <c r="C163" s="232"/>
      <c r="D163" s="228"/>
      <c r="E163" s="66">
        <v>0.08</v>
      </c>
      <c r="F163" s="58">
        <f>+F161*E163</f>
        <v>5096</v>
      </c>
    </row>
    <row r="164" spans="1:6" ht="15.75" customHeight="1" x14ac:dyDescent="0.25">
      <c r="A164" s="246" t="s">
        <v>58</v>
      </c>
      <c r="B164" s="232"/>
      <c r="C164" s="232"/>
      <c r="D164" s="232"/>
      <c r="E164" s="228"/>
      <c r="F164" s="67">
        <f>+F161+F163</f>
        <v>68796</v>
      </c>
    </row>
    <row r="165" spans="1:6" ht="15.75" customHeight="1" thickBot="1" x14ac:dyDescent="0.3"/>
    <row r="166" spans="1:6" ht="15.75" customHeight="1" thickBot="1" x14ac:dyDescent="0.3">
      <c r="A166" s="252" t="s">
        <v>122</v>
      </c>
      <c r="B166" s="264"/>
      <c r="C166" s="264"/>
      <c r="D166" s="264"/>
      <c r="E166" s="264"/>
      <c r="F166" s="265"/>
    </row>
    <row r="167" spans="1:6" ht="15.75" customHeight="1" x14ac:dyDescent="0.25">
      <c r="A167" s="261" t="s">
        <v>178</v>
      </c>
      <c r="B167" s="262"/>
      <c r="C167" s="262"/>
      <c r="D167" s="262"/>
      <c r="E167" s="262"/>
      <c r="F167" s="263"/>
    </row>
    <row r="168" spans="1:6" ht="15.75" customHeight="1" x14ac:dyDescent="0.25">
      <c r="A168" s="286" t="s">
        <v>59</v>
      </c>
      <c r="B168" s="287"/>
      <c r="C168" s="287"/>
      <c r="D168" s="225"/>
      <c r="E168" s="26" t="s">
        <v>49</v>
      </c>
      <c r="F168" s="27">
        <v>23</v>
      </c>
    </row>
    <row r="169" spans="1:6" ht="15.75" customHeight="1" x14ac:dyDescent="0.25">
      <c r="A169" s="215"/>
      <c r="B169" s="288"/>
      <c r="C169" s="288"/>
      <c r="D169" s="226"/>
      <c r="E169" s="28" t="s">
        <v>37</v>
      </c>
      <c r="F169" s="29">
        <v>1</v>
      </c>
    </row>
    <row r="170" spans="1:6" ht="15.75" customHeight="1" x14ac:dyDescent="0.25">
      <c r="A170" s="43" t="s">
        <v>38</v>
      </c>
      <c r="B170" s="43" t="s">
        <v>39</v>
      </c>
      <c r="C170" s="43" t="s">
        <v>40</v>
      </c>
      <c r="D170" s="44" t="s">
        <v>41</v>
      </c>
      <c r="E170" s="45" t="s">
        <v>42</v>
      </c>
      <c r="F170" s="46" t="s">
        <v>43</v>
      </c>
    </row>
    <row r="171" spans="1:6" ht="15.75" customHeight="1" x14ac:dyDescent="0.25">
      <c r="A171" s="47"/>
      <c r="B171" s="70" t="s">
        <v>221</v>
      </c>
      <c r="C171" s="74" t="s">
        <v>179</v>
      </c>
      <c r="D171" s="50">
        <v>1</v>
      </c>
      <c r="E171" s="168">
        <f>+'LISTA MAESTRA'!D14</f>
        <v>11484</v>
      </c>
      <c r="F171" s="169">
        <f>+D171*E171</f>
        <v>11484</v>
      </c>
    </row>
    <row r="172" spans="1:6" ht="15.75" customHeight="1" x14ac:dyDescent="0.25">
      <c r="A172" s="47"/>
      <c r="B172" s="70" t="s">
        <v>389</v>
      </c>
      <c r="C172" s="74" t="s">
        <v>179</v>
      </c>
      <c r="D172" s="49">
        <v>0.5</v>
      </c>
      <c r="E172" s="168">
        <f>+'RECETA BASE'!F107</f>
        <v>4971.8239999999996</v>
      </c>
      <c r="F172" s="169">
        <f t="shared" ref="F172:F183" si="6">+D172*E172</f>
        <v>2485.9119999999998</v>
      </c>
    </row>
    <row r="173" spans="1:6" ht="15.75" customHeight="1" x14ac:dyDescent="0.25">
      <c r="A173" s="47"/>
      <c r="B173" s="70" t="s">
        <v>226</v>
      </c>
      <c r="C173" s="74" t="s">
        <v>179</v>
      </c>
      <c r="D173" s="50">
        <v>1</v>
      </c>
      <c r="E173" s="168">
        <f>+'RECETA BASE'!F439</f>
        <v>1120.6166666666666</v>
      </c>
      <c r="F173" s="169">
        <f t="shared" si="6"/>
        <v>1120.6166666666666</v>
      </c>
    </row>
    <row r="174" spans="1:6" ht="15.75" customHeight="1" x14ac:dyDescent="0.25">
      <c r="A174" s="47"/>
      <c r="B174" s="70" t="s">
        <v>369</v>
      </c>
      <c r="C174" s="74" t="s">
        <v>9</v>
      </c>
      <c r="D174" s="50">
        <v>100</v>
      </c>
      <c r="E174" s="168">
        <f>+'LISTA MAESTRA'!D48</f>
        <v>3.7</v>
      </c>
      <c r="F174" s="169">
        <f t="shared" si="6"/>
        <v>370</v>
      </c>
    </row>
    <row r="175" spans="1:6" ht="15.75" customHeight="1" x14ac:dyDescent="0.25">
      <c r="A175" s="47"/>
      <c r="B175" s="70" t="s">
        <v>249</v>
      </c>
      <c r="C175" s="74" t="s">
        <v>9</v>
      </c>
      <c r="D175" s="50">
        <v>50</v>
      </c>
      <c r="E175" s="168">
        <f>+'LISTA MAESTRA'!D60</f>
        <v>10.6</v>
      </c>
      <c r="F175" s="169">
        <f t="shared" si="6"/>
        <v>530</v>
      </c>
    </row>
    <row r="176" spans="1:6" ht="15.75" customHeight="1" x14ac:dyDescent="0.25">
      <c r="A176" s="47"/>
      <c r="B176" s="70" t="s">
        <v>280</v>
      </c>
      <c r="C176" s="74" t="s">
        <v>179</v>
      </c>
      <c r="D176" s="50">
        <v>1</v>
      </c>
      <c r="E176" s="168">
        <f>+'RECETA BASE'!F420</f>
        <v>418.75</v>
      </c>
      <c r="F176" s="169">
        <f t="shared" si="6"/>
        <v>418.75</v>
      </c>
    </row>
    <row r="177" spans="1:6" ht="15.75" customHeight="1" x14ac:dyDescent="0.25">
      <c r="A177" s="47"/>
      <c r="B177" s="70" t="s">
        <v>348</v>
      </c>
      <c r="C177" s="74" t="s">
        <v>9</v>
      </c>
      <c r="D177" s="50">
        <v>100</v>
      </c>
      <c r="E177" s="168">
        <f>+'LISTA MAESTRA'!D73</f>
        <v>20.229885057471265</v>
      </c>
      <c r="F177" s="169">
        <f t="shared" si="6"/>
        <v>2022.9885057471265</v>
      </c>
    </row>
    <row r="178" spans="1:6" ht="15.75" customHeight="1" x14ac:dyDescent="0.25">
      <c r="A178" s="47"/>
      <c r="B178" s="70" t="s">
        <v>341</v>
      </c>
      <c r="C178" s="74" t="s">
        <v>179</v>
      </c>
      <c r="D178" s="50"/>
      <c r="E178" s="168"/>
      <c r="F178" s="169">
        <f t="shared" si="6"/>
        <v>0</v>
      </c>
    </row>
    <row r="179" spans="1:6" ht="15.75" customHeight="1" x14ac:dyDescent="0.25">
      <c r="A179" s="47"/>
      <c r="B179" s="70" t="s">
        <v>247</v>
      </c>
      <c r="C179" s="74" t="s">
        <v>9</v>
      </c>
      <c r="D179" s="50">
        <v>10</v>
      </c>
      <c r="E179" s="168">
        <f>+'LISTA MAESTRA'!D62</f>
        <v>3.4</v>
      </c>
      <c r="F179" s="169">
        <f t="shared" si="6"/>
        <v>34</v>
      </c>
    </row>
    <row r="180" spans="1:6" ht="15.75" customHeight="1" x14ac:dyDescent="0.25">
      <c r="A180" s="47"/>
      <c r="B180" s="70" t="s">
        <v>349</v>
      </c>
      <c r="C180" s="74" t="s">
        <v>9</v>
      </c>
      <c r="D180" s="50"/>
      <c r="E180" s="168"/>
      <c r="F180" s="169">
        <f t="shared" si="6"/>
        <v>0</v>
      </c>
    </row>
    <row r="181" spans="1:6" ht="15.75" customHeight="1" x14ac:dyDescent="0.25">
      <c r="A181" s="47"/>
      <c r="B181" s="70" t="s">
        <v>253</v>
      </c>
      <c r="C181" s="74" t="s">
        <v>9</v>
      </c>
      <c r="D181" s="50">
        <v>30</v>
      </c>
      <c r="E181" s="168">
        <f>+'LISTA MAESTRA'!D87</f>
        <v>17.262499999999999</v>
      </c>
      <c r="F181" s="169">
        <f t="shared" si="6"/>
        <v>517.875</v>
      </c>
    </row>
    <row r="182" spans="1:6" ht="15.75" customHeight="1" x14ac:dyDescent="0.25">
      <c r="A182" s="47"/>
      <c r="B182" s="70" t="s">
        <v>350</v>
      </c>
      <c r="C182" s="74" t="s">
        <v>25</v>
      </c>
      <c r="D182" s="50">
        <v>7</v>
      </c>
      <c r="E182" s="168">
        <f>+'LISTA MAESTRA'!D15</f>
        <v>850</v>
      </c>
      <c r="F182" s="169">
        <f t="shared" si="6"/>
        <v>5950</v>
      </c>
    </row>
    <row r="183" spans="1:6" ht="15.75" customHeight="1" x14ac:dyDescent="0.25">
      <c r="A183" s="47"/>
      <c r="B183" s="70" t="s">
        <v>351</v>
      </c>
      <c r="C183" s="74" t="s">
        <v>9</v>
      </c>
      <c r="D183" s="194">
        <v>1</v>
      </c>
      <c r="E183" s="168">
        <f>+'LISTA MAESTRA'!D69</f>
        <v>105</v>
      </c>
      <c r="F183" s="169">
        <f t="shared" si="6"/>
        <v>105</v>
      </c>
    </row>
    <row r="184" spans="1:6" ht="15.75" customHeight="1" x14ac:dyDescent="0.25">
      <c r="A184" s="47"/>
      <c r="B184" s="70"/>
      <c r="C184" s="74"/>
      <c r="D184" s="50"/>
      <c r="E184" s="78"/>
      <c r="F184" s="52"/>
    </row>
    <row r="185" spans="1:6" ht="15.75" customHeight="1" x14ac:dyDescent="0.25">
      <c r="A185" s="290" t="s">
        <v>45</v>
      </c>
      <c r="B185" s="232"/>
      <c r="C185" s="232"/>
      <c r="D185" s="232"/>
      <c r="E185" s="228"/>
      <c r="F185" s="56">
        <f>SUM(F171:F184)</f>
        <v>25039.142172413791</v>
      </c>
    </row>
    <row r="186" spans="1:6" ht="15.75" customHeight="1" x14ac:dyDescent="0.25">
      <c r="A186" s="246" t="s">
        <v>46</v>
      </c>
      <c r="B186" s="232"/>
      <c r="C186" s="232"/>
      <c r="D186" s="228"/>
      <c r="E186" s="40">
        <v>0</v>
      </c>
      <c r="F186" s="57">
        <f>+F185*E186</f>
        <v>0</v>
      </c>
    </row>
    <row r="187" spans="1:6" ht="15.75" customHeight="1" x14ac:dyDescent="0.25">
      <c r="A187" s="290" t="s">
        <v>50</v>
      </c>
      <c r="B187" s="232"/>
      <c r="C187" s="232"/>
      <c r="D187" s="232"/>
      <c r="E187" s="228"/>
      <c r="F187" s="58">
        <f>+F185+F186</f>
        <v>25039.142172413791</v>
      </c>
    </row>
    <row r="188" spans="1:6" ht="15.75" customHeight="1" x14ac:dyDescent="0.25">
      <c r="A188" s="246" t="s">
        <v>51</v>
      </c>
      <c r="B188" s="232"/>
      <c r="C188" s="232"/>
      <c r="D188" s="232"/>
      <c r="E188" s="228"/>
      <c r="F188" s="59">
        <f>+F187/F169</f>
        <v>25039.142172413791</v>
      </c>
    </row>
    <row r="189" spans="1:6" ht="15.75" customHeight="1" x14ac:dyDescent="0.25">
      <c r="A189" s="290" t="s">
        <v>53</v>
      </c>
      <c r="B189" s="232"/>
      <c r="C189" s="232"/>
      <c r="D189" s="232"/>
      <c r="E189" s="228"/>
      <c r="F189" s="61">
        <v>0.35</v>
      </c>
    </row>
    <row r="190" spans="1:6" ht="15.75" customHeight="1" x14ac:dyDescent="0.25">
      <c r="A190" s="246" t="s">
        <v>54</v>
      </c>
      <c r="B190" s="232"/>
      <c r="C190" s="232"/>
      <c r="D190" s="232"/>
      <c r="E190" s="228"/>
      <c r="F190" s="57">
        <f>+F188/F189</f>
        <v>71540.406206896543</v>
      </c>
    </row>
    <row r="191" spans="1:6" ht="15.75" customHeight="1" x14ac:dyDescent="0.25">
      <c r="A191" s="290" t="s">
        <v>55</v>
      </c>
      <c r="B191" s="232"/>
      <c r="C191" s="232"/>
      <c r="D191" s="232"/>
      <c r="E191" s="228"/>
      <c r="F191" s="56">
        <f>ROUNDUP(F190,-2)</f>
        <v>71600</v>
      </c>
    </row>
    <row r="192" spans="1:6" ht="15.75" customHeight="1" x14ac:dyDescent="0.25">
      <c r="A192" s="293" t="s">
        <v>56</v>
      </c>
      <c r="B192" s="232"/>
      <c r="C192" s="232"/>
      <c r="D192" s="232"/>
      <c r="E192" s="228"/>
      <c r="F192" s="65">
        <f>+F188/F191</f>
        <v>0.34970868955885182</v>
      </c>
    </row>
    <row r="193" spans="1:6" ht="15.75" customHeight="1" x14ac:dyDescent="0.25">
      <c r="A193" s="290" t="s">
        <v>57</v>
      </c>
      <c r="B193" s="232"/>
      <c r="C193" s="232"/>
      <c r="D193" s="228"/>
      <c r="E193" s="66">
        <v>0.08</v>
      </c>
      <c r="F193" s="58">
        <f>+F191*E193</f>
        <v>5728</v>
      </c>
    </row>
    <row r="194" spans="1:6" ht="15.75" customHeight="1" x14ac:dyDescent="0.25">
      <c r="A194" s="246" t="s">
        <v>58</v>
      </c>
      <c r="B194" s="232"/>
      <c r="C194" s="232"/>
      <c r="D194" s="232"/>
      <c r="E194" s="228"/>
      <c r="F194" s="67">
        <f>+F191+F193</f>
        <v>77328</v>
      </c>
    </row>
    <row r="195" spans="1:6" ht="15.75" customHeight="1" x14ac:dyDescent="0.25"/>
    <row r="196" spans="1:6" ht="15.75" customHeight="1" x14ac:dyDescent="0.25"/>
    <row r="197" spans="1:6" ht="15.75" customHeight="1" x14ac:dyDescent="0.25"/>
    <row r="198" spans="1:6" ht="15.75" customHeight="1" x14ac:dyDescent="0.25"/>
    <row r="199" spans="1:6" ht="15.75" customHeight="1" x14ac:dyDescent="0.25"/>
    <row r="200" spans="1:6" ht="15.75" customHeight="1" x14ac:dyDescent="0.25"/>
    <row r="201" spans="1:6" ht="15.75" customHeight="1" x14ac:dyDescent="0.25"/>
    <row r="202" spans="1:6" ht="15.75" customHeight="1" x14ac:dyDescent="0.25"/>
    <row r="203" spans="1:6" ht="15.75" customHeight="1" x14ac:dyDescent="0.25"/>
    <row r="204" spans="1:6" ht="15.75" customHeight="1" x14ac:dyDescent="0.25"/>
    <row r="205" spans="1:6" ht="15.75" customHeight="1" x14ac:dyDescent="0.25"/>
    <row r="206" spans="1:6" ht="15.75" customHeight="1" x14ac:dyDescent="0.25"/>
    <row r="207" spans="1:6" ht="15.75" customHeight="1" x14ac:dyDescent="0.25"/>
    <row r="208" spans="1:6"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sheetData>
  <mergeCells count="91">
    <mergeCell ref="A192:E192"/>
    <mergeCell ref="A193:D193"/>
    <mergeCell ref="A194:E194"/>
    <mergeCell ref="A167:F167"/>
    <mergeCell ref="A168:D169"/>
    <mergeCell ref="A185:E185"/>
    <mergeCell ref="A186:D186"/>
    <mergeCell ref="A187:E187"/>
    <mergeCell ref="A188:E188"/>
    <mergeCell ref="A189:E189"/>
    <mergeCell ref="A190:E190"/>
    <mergeCell ref="A191:E191"/>
    <mergeCell ref="A2:F2"/>
    <mergeCell ref="A3:D4"/>
    <mergeCell ref="A166:F166"/>
    <mergeCell ref="A1:F1"/>
    <mergeCell ref="A24:E24"/>
    <mergeCell ref="A25:E25"/>
    <mergeCell ref="A26:D26"/>
    <mergeCell ref="A27:E27"/>
    <mergeCell ref="A30:F30"/>
    <mergeCell ref="A18:E18"/>
    <mergeCell ref="A19:D19"/>
    <mergeCell ref="A20:E20"/>
    <mergeCell ref="A21:E21"/>
    <mergeCell ref="A22:E22"/>
    <mergeCell ref="A23:E23"/>
    <mergeCell ref="A31:F31"/>
    <mergeCell ref="A32:D33"/>
    <mergeCell ref="A50:E50"/>
    <mergeCell ref="A51:E51"/>
    <mergeCell ref="A52:D52"/>
    <mergeCell ref="A53:E53"/>
    <mergeCell ref="A56:F56"/>
    <mergeCell ref="A44:E44"/>
    <mergeCell ref="A45:D45"/>
    <mergeCell ref="A46:E46"/>
    <mergeCell ref="A47:E47"/>
    <mergeCell ref="A48:E48"/>
    <mergeCell ref="A49:E49"/>
    <mergeCell ref="A57:F57"/>
    <mergeCell ref="A58:D59"/>
    <mergeCell ref="A76:E76"/>
    <mergeCell ref="A77:E77"/>
    <mergeCell ref="A78:D78"/>
    <mergeCell ref="A79:E79"/>
    <mergeCell ref="A81:F81"/>
    <mergeCell ref="A70:E70"/>
    <mergeCell ref="A71:D71"/>
    <mergeCell ref="A72:E72"/>
    <mergeCell ref="A73:E73"/>
    <mergeCell ref="A74:E74"/>
    <mergeCell ref="A75:E75"/>
    <mergeCell ref="A82:F82"/>
    <mergeCell ref="A83:D84"/>
    <mergeCell ref="A104:E104"/>
    <mergeCell ref="A105:E105"/>
    <mergeCell ref="A106:D106"/>
    <mergeCell ref="A107:E107"/>
    <mergeCell ref="A109:F109"/>
    <mergeCell ref="A98:E98"/>
    <mergeCell ref="A99:D99"/>
    <mergeCell ref="A100:E100"/>
    <mergeCell ref="A101:E101"/>
    <mergeCell ref="A102:E102"/>
    <mergeCell ref="A103:E103"/>
    <mergeCell ref="A110:F110"/>
    <mergeCell ref="A111:D112"/>
    <mergeCell ref="A132:E132"/>
    <mergeCell ref="A133:E133"/>
    <mergeCell ref="A134:D134"/>
    <mergeCell ref="A135:E135"/>
    <mergeCell ref="A137:F137"/>
    <mergeCell ref="A126:E126"/>
    <mergeCell ref="A127:D127"/>
    <mergeCell ref="A128:E128"/>
    <mergeCell ref="A129:E129"/>
    <mergeCell ref="A130:E130"/>
    <mergeCell ref="A131:E131"/>
    <mergeCell ref="A138:F138"/>
    <mergeCell ref="A139:D140"/>
    <mergeCell ref="A161:E161"/>
    <mergeCell ref="A162:E162"/>
    <mergeCell ref="A163:D163"/>
    <mergeCell ref="A164:E164"/>
    <mergeCell ref="A155:E155"/>
    <mergeCell ref="A156:D156"/>
    <mergeCell ref="A157:E157"/>
    <mergeCell ref="A158:E158"/>
    <mergeCell ref="A159:E159"/>
    <mergeCell ref="A160:E160"/>
  </mergeCells>
  <hyperlinks>
    <hyperlink ref="H2" location="'LISTA MAESTRA'!A1" display="LISTA MAESTRA" xr:uid="{F70F6CF8-BA78-4B38-8E40-F2E68D55C6EA}"/>
    <hyperlink ref="I2" location="'RECETA BASE'!A1" display="'RECETA BASE'" xr:uid="{C843EE01-9F05-4F11-93A8-4922475B0EA2}"/>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B36E-74E6-4127-9B9E-DD7D6E2ED3CE}">
  <sheetPr>
    <tabColor rgb="FF7030A0"/>
  </sheetPr>
  <dimension ref="A1:K770"/>
  <sheetViews>
    <sheetView topLeftCell="A49" workbookViewId="0">
      <selection activeCell="F57" sqref="F57:F63"/>
    </sheetView>
  </sheetViews>
  <sheetFormatPr baseColWidth="10" defaultColWidth="14.42578125" defaultRowHeight="15" customHeight="1" x14ac:dyDescent="0.25"/>
  <cols>
    <col min="1" max="1" width="10.7109375" customWidth="1"/>
    <col min="2" max="2" width="34.28515625" bestFit="1" customWidth="1"/>
    <col min="3" max="4" width="10.7109375" customWidth="1"/>
    <col min="5" max="5" width="13" customWidth="1"/>
    <col min="6" max="6" width="10.7109375" customWidth="1"/>
    <col min="7" max="7" width="4.42578125" customWidth="1"/>
    <col min="8" max="8" width="14.5703125" customWidth="1"/>
    <col min="9" max="9" width="13.28515625" customWidth="1"/>
    <col min="10" max="14" width="10.7109375" customWidth="1"/>
    <col min="15" max="15" width="4.28515625" customWidth="1"/>
    <col min="16" max="19" width="10.7109375" customWidth="1"/>
  </cols>
  <sheetData>
    <row r="1" spans="1:11" ht="21" customHeight="1" thickBot="1" x14ac:dyDescent="0.3">
      <c r="A1" s="252" t="s">
        <v>124</v>
      </c>
      <c r="B1" s="264"/>
      <c r="C1" s="264"/>
      <c r="D1" s="264"/>
      <c r="E1" s="264"/>
      <c r="F1" s="265"/>
    </row>
    <row r="2" spans="1:11" x14ac:dyDescent="0.25">
      <c r="A2" s="261" t="s">
        <v>178</v>
      </c>
      <c r="B2" s="262"/>
      <c r="C2" s="262"/>
      <c r="D2" s="262"/>
      <c r="E2" s="262"/>
      <c r="F2" s="263"/>
      <c r="H2" s="38" t="s">
        <v>44</v>
      </c>
      <c r="I2" s="60" t="s">
        <v>52</v>
      </c>
    </row>
    <row r="3" spans="1:11" x14ac:dyDescent="0.25">
      <c r="A3" s="286" t="s">
        <v>59</v>
      </c>
      <c r="B3" s="287"/>
      <c r="C3" s="287"/>
      <c r="D3" s="225"/>
      <c r="E3" s="26" t="s">
        <v>49</v>
      </c>
      <c r="F3" s="27">
        <v>23</v>
      </c>
    </row>
    <row r="4" spans="1:11" x14ac:dyDescent="0.25">
      <c r="A4" s="215"/>
      <c r="B4" s="288"/>
      <c r="C4" s="288"/>
      <c r="D4" s="226"/>
      <c r="E4" s="28" t="s">
        <v>37</v>
      </c>
      <c r="F4" s="29">
        <v>1</v>
      </c>
      <c r="J4" s="62"/>
      <c r="K4" s="63"/>
    </row>
    <row r="5" spans="1:11" x14ac:dyDescent="0.25">
      <c r="A5" s="43" t="s">
        <v>38</v>
      </c>
      <c r="B5" s="43" t="s">
        <v>39</v>
      </c>
      <c r="C5" s="43" t="s">
        <v>40</v>
      </c>
      <c r="D5" s="44" t="s">
        <v>41</v>
      </c>
      <c r="E5" s="45" t="s">
        <v>42</v>
      </c>
      <c r="F5" s="46" t="s">
        <v>43</v>
      </c>
    </row>
    <row r="6" spans="1:11" x14ac:dyDescent="0.25">
      <c r="A6" s="47"/>
      <c r="B6" s="70" t="s">
        <v>421</v>
      </c>
      <c r="C6" s="74" t="s">
        <v>9</v>
      </c>
      <c r="D6" s="50">
        <v>380</v>
      </c>
      <c r="E6" s="168">
        <f>+'LISTA MAESTRA'!D7</f>
        <v>44</v>
      </c>
      <c r="F6" s="169">
        <f>+E6*D6</f>
        <v>16720</v>
      </c>
    </row>
    <row r="7" spans="1:11" x14ac:dyDescent="0.25">
      <c r="A7" s="47"/>
      <c r="B7" s="70" t="s">
        <v>216</v>
      </c>
      <c r="C7" s="74" t="s">
        <v>179</v>
      </c>
      <c r="D7" s="50">
        <v>1</v>
      </c>
      <c r="E7" s="168">
        <f>+'RECETA BASE'!F142</f>
        <v>2184.0239999999999</v>
      </c>
      <c r="F7" s="169">
        <f t="shared" ref="F7:F13" si="0">+E7*D7</f>
        <v>2184.0239999999999</v>
      </c>
    </row>
    <row r="8" spans="1:11" x14ac:dyDescent="0.25">
      <c r="A8" s="47"/>
      <c r="B8" s="70" t="s">
        <v>215</v>
      </c>
      <c r="C8" s="74" t="s">
        <v>179</v>
      </c>
      <c r="D8" s="50">
        <v>1</v>
      </c>
      <c r="E8" s="168">
        <f>+'RECETA BASE'!F331</f>
        <v>1020.515</v>
      </c>
      <c r="F8" s="169">
        <f t="shared" si="0"/>
        <v>1020.515</v>
      </c>
    </row>
    <row r="9" spans="1:11" x14ac:dyDescent="0.25">
      <c r="A9" s="47"/>
      <c r="B9" s="70" t="s">
        <v>303</v>
      </c>
      <c r="C9" s="74" t="s">
        <v>179</v>
      </c>
      <c r="D9" s="50">
        <v>1</v>
      </c>
      <c r="E9" s="168">
        <f>+'RECETA BASE'!F314</f>
        <v>558.18412992357435</v>
      </c>
      <c r="F9" s="169">
        <f t="shared" si="0"/>
        <v>558.18412992357435</v>
      </c>
    </row>
    <row r="10" spans="1:11" x14ac:dyDescent="0.25">
      <c r="A10" s="47"/>
      <c r="B10" s="70" t="s">
        <v>335</v>
      </c>
      <c r="C10" s="74"/>
      <c r="D10" s="50"/>
      <c r="E10" s="168"/>
      <c r="F10" s="169">
        <f t="shared" si="0"/>
        <v>0</v>
      </c>
    </row>
    <row r="11" spans="1:11" x14ac:dyDescent="0.25">
      <c r="A11" s="53"/>
      <c r="B11" s="71" t="s">
        <v>313</v>
      </c>
      <c r="C11" s="74" t="s">
        <v>9</v>
      </c>
      <c r="D11" s="54">
        <v>3</v>
      </c>
      <c r="E11" s="169">
        <f>+'LISTA MAESTRA'!D105</f>
        <v>28.157894736842106</v>
      </c>
      <c r="F11" s="169">
        <f t="shared" si="0"/>
        <v>84.473684210526315</v>
      </c>
    </row>
    <row r="12" spans="1:11" x14ac:dyDescent="0.25">
      <c r="A12" s="72"/>
      <c r="B12" s="71" t="s">
        <v>395</v>
      </c>
      <c r="C12" s="74" t="s">
        <v>179</v>
      </c>
      <c r="D12" s="73"/>
      <c r="E12" s="169"/>
      <c r="F12" s="169">
        <f t="shared" si="0"/>
        <v>0</v>
      </c>
    </row>
    <row r="13" spans="1:11" x14ac:dyDescent="0.25">
      <c r="A13" s="72"/>
      <c r="B13" s="71" t="s">
        <v>315</v>
      </c>
      <c r="C13" s="74" t="s">
        <v>179</v>
      </c>
      <c r="D13" s="73"/>
      <c r="E13" s="169"/>
      <c r="F13" s="169">
        <f t="shared" si="0"/>
        <v>0</v>
      </c>
    </row>
    <row r="14" spans="1:11" x14ac:dyDescent="0.25">
      <c r="A14" s="55"/>
      <c r="B14" s="48"/>
      <c r="C14" s="49"/>
      <c r="D14" s="50"/>
      <c r="E14" s="169"/>
      <c r="F14" s="169"/>
    </row>
    <row r="15" spans="1:11" x14ac:dyDescent="0.25">
      <c r="A15" s="290" t="s">
        <v>45</v>
      </c>
      <c r="B15" s="232"/>
      <c r="C15" s="232"/>
      <c r="D15" s="232"/>
      <c r="E15" s="228"/>
      <c r="F15" s="56">
        <f>SUM(F6:F14)</f>
        <v>20567.196814134102</v>
      </c>
    </row>
    <row r="16" spans="1:11" x14ac:dyDescent="0.25">
      <c r="A16" s="246" t="s">
        <v>46</v>
      </c>
      <c r="B16" s="232"/>
      <c r="C16" s="232"/>
      <c r="D16" s="228"/>
      <c r="E16" s="40">
        <v>0</v>
      </c>
      <c r="F16" s="57">
        <f>+F15*E16</f>
        <v>0</v>
      </c>
    </row>
    <row r="17" spans="1:6" x14ac:dyDescent="0.25">
      <c r="A17" s="290" t="s">
        <v>50</v>
      </c>
      <c r="B17" s="232"/>
      <c r="C17" s="232"/>
      <c r="D17" s="232"/>
      <c r="E17" s="228"/>
      <c r="F17" s="58">
        <f>+F15+F16</f>
        <v>20567.196814134102</v>
      </c>
    </row>
    <row r="18" spans="1:6" x14ac:dyDescent="0.25">
      <c r="A18" s="246" t="s">
        <v>51</v>
      </c>
      <c r="B18" s="232"/>
      <c r="C18" s="232"/>
      <c r="D18" s="232"/>
      <c r="E18" s="228"/>
      <c r="F18" s="59">
        <f>+F17/F4</f>
        <v>20567.196814134102</v>
      </c>
    </row>
    <row r="19" spans="1:6" x14ac:dyDescent="0.25">
      <c r="A19" s="290" t="s">
        <v>53</v>
      </c>
      <c r="B19" s="232"/>
      <c r="C19" s="232"/>
      <c r="D19" s="232"/>
      <c r="E19" s="228"/>
      <c r="F19" s="61">
        <v>0.35</v>
      </c>
    </row>
    <row r="20" spans="1:6" x14ac:dyDescent="0.25">
      <c r="A20" s="246" t="s">
        <v>54</v>
      </c>
      <c r="B20" s="232"/>
      <c r="C20" s="232"/>
      <c r="D20" s="232"/>
      <c r="E20" s="228"/>
      <c r="F20" s="57">
        <f>+F18/F19</f>
        <v>58763.419468954584</v>
      </c>
    </row>
    <row r="21" spans="1:6" x14ac:dyDescent="0.25">
      <c r="A21" s="290" t="s">
        <v>55</v>
      </c>
      <c r="B21" s="232"/>
      <c r="C21" s="232"/>
      <c r="D21" s="232"/>
      <c r="E21" s="228"/>
      <c r="F21" s="56">
        <f>ROUNDUP(F20,-2)</f>
        <v>58800</v>
      </c>
    </row>
    <row r="22" spans="1:6" x14ac:dyDescent="0.25">
      <c r="A22" s="293" t="s">
        <v>56</v>
      </c>
      <c r="B22" s="232"/>
      <c r="C22" s="232"/>
      <c r="D22" s="232"/>
      <c r="E22" s="228"/>
      <c r="F22" s="65">
        <f>+F18/F21</f>
        <v>0.34978225874377727</v>
      </c>
    </row>
    <row r="23" spans="1:6" ht="15.75" customHeight="1" x14ac:dyDescent="0.25">
      <c r="A23" s="290" t="s">
        <v>57</v>
      </c>
      <c r="B23" s="232"/>
      <c r="C23" s="232"/>
      <c r="D23" s="228"/>
      <c r="E23" s="66">
        <v>0.08</v>
      </c>
      <c r="F23" s="58">
        <f>+F21*E23</f>
        <v>4704</v>
      </c>
    </row>
    <row r="24" spans="1:6" ht="15.75" customHeight="1" x14ac:dyDescent="0.25">
      <c r="A24" s="246" t="s">
        <v>58</v>
      </c>
      <c r="B24" s="232"/>
      <c r="C24" s="232"/>
      <c r="D24" s="232"/>
      <c r="E24" s="228"/>
      <c r="F24" s="67">
        <f>+F21+F23</f>
        <v>63504</v>
      </c>
    </row>
    <row r="25" spans="1:6" ht="15.75" customHeight="1" x14ac:dyDescent="0.25"/>
    <row r="26" spans="1:6" ht="15.75" customHeight="1" thickBot="1" x14ac:dyDescent="0.3"/>
    <row r="27" spans="1:6" ht="21" customHeight="1" thickBot="1" x14ac:dyDescent="0.3">
      <c r="A27" s="252" t="s">
        <v>125</v>
      </c>
      <c r="B27" s="264"/>
      <c r="C27" s="264"/>
      <c r="D27" s="264"/>
      <c r="E27" s="264"/>
      <c r="F27" s="265"/>
    </row>
    <row r="28" spans="1:6" x14ac:dyDescent="0.25">
      <c r="A28" s="261" t="s">
        <v>178</v>
      </c>
      <c r="B28" s="262"/>
      <c r="C28" s="262"/>
      <c r="D28" s="262"/>
      <c r="E28" s="262"/>
      <c r="F28" s="263"/>
    </row>
    <row r="29" spans="1:6" x14ac:dyDescent="0.25">
      <c r="A29" s="286" t="s">
        <v>59</v>
      </c>
      <c r="B29" s="287"/>
      <c r="C29" s="287"/>
      <c r="D29" s="225"/>
      <c r="E29" s="26" t="s">
        <v>49</v>
      </c>
      <c r="F29" s="27">
        <v>24</v>
      </c>
    </row>
    <row r="30" spans="1:6" x14ac:dyDescent="0.25">
      <c r="A30" s="215"/>
      <c r="B30" s="288"/>
      <c r="C30" s="288"/>
      <c r="D30" s="226"/>
      <c r="E30" s="28" t="s">
        <v>37</v>
      </c>
      <c r="F30" s="29">
        <v>1</v>
      </c>
    </row>
    <row r="31" spans="1:6" x14ac:dyDescent="0.25">
      <c r="A31" s="43" t="s">
        <v>38</v>
      </c>
      <c r="B31" s="43" t="s">
        <v>39</v>
      </c>
      <c r="C31" s="43" t="s">
        <v>40</v>
      </c>
      <c r="D31" s="44" t="s">
        <v>41</v>
      </c>
      <c r="E31" s="45" t="s">
        <v>42</v>
      </c>
      <c r="F31" s="46" t="s">
        <v>43</v>
      </c>
    </row>
    <row r="32" spans="1:6" x14ac:dyDescent="0.25">
      <c r="A32" s="47"/>
      <c r="B32" s="70" t="s">
        <v>422</v>
      </c>
      <c r="C32" s="74" t="s">
        <v>179</v>
      </c>
      <c r="D32" s="50">
        <v>380</v>
      </c>
      <c r="E32" s="51">
        <f>+'LISTA MAESTRA'!D6</f>
        <v>48.8</v>
      </c>
      <c r="F32" s="52">
        <f t="shared" ref="F32:F39" si="1">E32*D32</f>
        <v>18544</v>
      </c>
    </row>
    <row r="33" spans="1:6" x14ac:dyDescent="0.25">
      <c r="A33" s="47"/>
      <c r="B33" s="70" t="s">
        <v>218</v>
      </c>
      <c r="C33" s="74" t="s">
        <v>179</v>
      </c>
      <c r="D33" s="50">
        <v>1</v>
      </c>
      <c r="E33" s="51">
        <f>+'RECETA BASE'!F332</f>
        <v>962.75</v>
      </c>
      <c r="F33" s="52">
        <f t="shared" si="1"/>
        <v>962.75</v>
      </c>
    </row>
    <row r="34" spans="1:6" x14ac:dyDescent="0.25">
      <c r="A34" s="47"/>
      <c r="B34" s="70" t="s">
        <v>216</v>
      </c>
      <c r="C34" s="74" t="s">
        <v>179</v>
      </c>
      <c r="D34" s="50">
        <v>1</v>
      </c>
      <c r="E34" s="51">
        <f>+'RECETA BASE'!F142</f>
        <v>2184.0239999999999</v>
      </c>
      <c r="F34" s="52">
        <f t="shared" si="1"/>
        <v>2184.0239999999999</v>
      </c>
    </row>
    <row r="35" spans="1:6" x14ac:dyDescent="0.25">
      <c r="A35" s="47"/>
      <c r="B35" s="70" t="s">
        <v>303</v>
      </c>
      <c r="C35" s="74" t="s">
        <v>9</v>
      </c>
      <c r="D35" s="50">
        <v>1</v>
      </c>
      <c r="E35" s="51">
        <f>+'RECETA BASE'!F314</f>
        <v>558.18412992357435</v>
      </c>
      <c r="F35" s="52">
        <f t="shared" si="1"/>
        <v>558.18412992357435</v>
      </c>
    </row>
    <row r="36" spans="1:6" x14ac:dyDescent="0.25">
      <c r="A36" s="53"/>
      <c r="B36" s="70" t="s">
        <v>335</v>
      </c>
      <c r="C36" s="74"/>
      <c r="D36" s="54"/>
      <c r="E36" s="52"/>
      <c r="F36" s="52">
        <f t="shared" si="1"/>
        <v>0</v>
      </c>
    </row>
    <row r="37" spans="1:6" x14ac:dyDescent="0.25">
      <c r="A37" s="72"/>
      <c r="B37" s="71" t="s">
        <v>313</v>
      </c>
      <c r="C37" s="74" t="s">
        <v>9</v>
      </c>
      <c r="D37" s="73">
        <v>3</v>
      </c>
      <c r="E37" s="52">
        <f>+'LISTA MAESTRA'!D105</f>
        <v>28.157894736842106</v>
      </c>
      <c r="F37" s="52">
        <f t="shared" si="1"/>
        <v>84.473684210526315</v>
      </c>
    </row>
    <row r="38" spans="1:6" x14ac:dyDescent="0.25">
      <c r="A38" s="72"/>
      <c r="B38" s="71" t="s">
        <v>395</v>
      </c>
      <c r="C38" s="74" t="s">
        <v>179</v>
      </c>
      <c r="D38" s="73"/>
      <c r="E38" s="52"/>
      <c r="F38" s="52">
        <f t="shared" si="1"/>
        <v>0</v>
      </c>
    </row>
    <row r="39" spans="1:6" x14ac:dyDescent="0.25">
      <c r="A39" s="55"/>
      <c r="B39" s="71" t="s">
        <v>315</v>
      </c>
      <c r="C39" s="74" t="s">
        <v>179</v>
      </c>
      <c r="D39" s="50"/>
      <c r="E39" s="52"/>
      <c r="F39" s="52">
        <f t="shared" si="1"/>
        <v>0</v>
      </c>
    </row>
    <row r="40" spans="1:6" x14ac:dyDescent="0.25">
      <c r="A40" s="290" t="s">
        <v>45</v>
      </c>
      <c r="B40" s="232"/>
      <c r="C40" s="232"/>
      <c r="D40" s="232"/>
      <c r="E40" s="228"/>
      <c r="F40" s="56">
        <f>SUM(F32:F39)</f>
        <v>22333.431814134103</v>
      </c>
    </row>
    <row r="41" spans="1:6" x14ac:dyDescent="0.25">
      <c r="A41" s="246" t="s">
        <v>46</v>
      </c>
      <c r="B41" s="232"/>
      <c r="C41" s="232"/>
      <c r="D41" s="228"/>
      <c r="E41" s="40">
        <v>0</v>
      </c>
      <c r="F41" s="57">
        <f>+F40*E41</f>
        <v>0</v>
      </c>
    </row>
    <row r="42" spans="1:6" x14ac:dyDescent="0.25">
      <c r="A42" s="290" t="s">
        <v>50</v>
      </c>
      <c r="B42" s="232"/>
      <c r="C42" s="232"/>
      <c r="D42" s="232"/>
      <c r="E42" s="228"/>
      <c r="F42" s="58">
        <f>+F40+F41</f>
        <v>22333.431814134103</v>
      </c>
    </row>
    <row r="43" spans="1:6" x14ac:dyDescent="0.25">
      <c r="A43" s="246" t="s">
        <v>51</v>
      </c>
      <c r="B43" s="232"/>
      <c r="C43" s="232"/>
      <c r="D43" s="232"/>
      <c r="E43" s="228"/>
      <c r="F43" s="59">
        <f>+F42/F30</f>
        <v>22333.431814134103</v>
      </c>
    </row>
    <row r="44" spans="1:6" x14ac:dyDescent="0.25">
      <c r="A44" s="290" t="s">
        <v>53</v>
      </c>
      <c r="B44" s="232"/>
      <c r="C44" s="232"/>
      <c r="D44" s="232"/>
      <c r="E44" s="228"/>
      <c r="F44" s="61">
        <v>0.35</v>
      </c>
    </row>
    <row r="45" spans="1:6" x14ac:dyDescent="0.25">
      <c r="A45" s="246" t="s">
        <v>54</v>
      </c>
      <c r="B45" s="232"/>
      <c r="C45" s="232"/>
      <c r="D45" s="232"/>
      <c r="E45" s="228"/>
      <c r="F45" s="57">
        <f>+F43/F44</f>
        <v>63809.8051832403</v>
      </c>
    </row>
    <row r="46" spans="1:6" x14ac:dyDescent="0.25">
      <c r="A46" s="290" t="s">
        <v>55</v>
      </c>
      <c r="B46" s="232"/>
      <c r="C46" s="232"/>
      <c r="D46" s="232"/>
      <c r="E46" s="228"/>
      <c r="F46" s="56">
        <f>ROUNDUP(F45,-2)</f>
        <v>63900</v>
      </c>
    </row>
    <row r="47" spans="1:6" x14ac:dyDescent="0.25">
      <c r="A47" s="293" t="s">
        <v>56</v>
      </c>
      <c r="B47" s="232"/>
      <c r="C47" s="232"/>
      <c r="D47" s="232"/>
      <c r="E47" s="228"/>
      <c r="F47" s="65">
        <f>+F43/F46</f>
        <v>0.34950597518206733</v>
      </c>
    </row>
    <row r="48" spans="1:6" ht="15.75" customHeight="1" x14ac:dyDescent="0.25">
      <c r="A48" s="290" t="s">
        <v>57</v>
      </c>
      <c r="B48" s="232"/>
      <c r="C48" s="232"/>
      <c r="D48" s="228"/>
      <c r="E48" s="66">
        <v>0.08</v>
      </c>
      <c r="F48" s="58">
        <f>+F46*E48</f>
        <v>5112</v>
      </c>
    </row>
    <row r="49" spans="1:6" ht="15.75" customHeight="1" x14ac:dyDescent="0.25">
      <c r="A49" s="246" t="s">
        <v>58</v>
      </c>
      <c r="B49" s="232"/>
      <c r="C49" s="232"/>
      <c r="D49" s="232"/>
      <c r="E49" s="228"/>
      <c r="F49" s="67">
        <f>+F46+F48</f>
        <v>69012</v>
      </c>
    </row>
    <row r="50" spans="1:6" ht="15.75" customHeight="1" x14ac:dyDescent="0.25"/>
    <row r="51" spans="1:6" ht="15.75" customHeight="1" thickBot="1" x14ac:dyDescent="0.3"/>
    <row r="52" spans="1:6" ht="21" customHeight="1" thickBot="1" x14ac:dyDescent="0.3">
      <c r="A52" s="252" t="s">
        <v>126</v>
      </c>
      <c r="B52" s="264"/>
      <c r="C52" s="264"/>
      <c r="D52" s="264"/>
      <c r="E52" s="264"/>
      <c r="F52" s="265"/>
    </row>
    <row r="53" spans="1:6" x14ac:dyDescent="0.25">
      <c r="A53" s="261" t="s">
        <v>178</v>
      </c>
      <c r="B53" s="262"/>
      <c r="C53" s="262"/>
      <c r="D53" s="262"/>
      <c r="E53" s="262"/>
      <c r="F53" s="263"/>
    </row>
    <row r="54" spans="1:6" x14ac:dyDescent="0.25">
      <c r="A54" s="286" t="s">
        <v>59</v>
      </c>
      <c r="B54" s="287"/>
      <c r="C54" s="287"/>
      <c r="D54" s="225"/>
      <c r="E54" s="26" t="s">
        <v>49</v>
      </c>
      <c r="F54" s="27">
        <v>25</v>
      </c>
    </row>
    <row r="55" spans="1:6" x14ac:dyDescent="0.25">
      <c r="A55" s="215"/>
      <c r="B55" s="288"/>
      <c r="C55" s="288"/>
      <c r="D55" s="226"/>
      <c r="E55" s="28" t="s">
        <v>37</v>
      </c>
      <c r="F55" s="29">
        <v>1</v>
      </c>
    </row>
    <row r="56" spans="1:6" x14ac:dyDescent="0.25">
      <c r="A56" s="43" t="s">
        <v>38</v>
      </c>
      <c r="B56" s="43" t="s">
        <v>39</v>
      </c>
      <c r="C56" s="43" t="s">
        <v>40</v>
      </c>
      <c r="D56" s="44" t="s">
        <v>41</v>
      </c>
      <c r="E56" s="45" t="s">
        <v>42</v>
      </c>
      <c r="F56" s="46" t="s">
        <v>43</v>
      </c>
    </row>
    <row r="57" spans="1:6" x14ac:dyDescent="0.25">
      <c r="A57" s="47"/>
      <c r="B57" s="70" t="s">
        <v>227</v>
      </c>
      <c r="C57" s="74" t="s">
        <v>228</v>
      </c>
      <c r="D57" s="50"/>
      <c r="E57" s="78"/>
      <c r="F57" s="52">
        <f>+E57*D57</f>
        <v>0</v>
      </c>
    </row>
    <row r="58" spans="1:6" x14ac:dyDescent="0.25">
      <c r="A58" s="47"/>
      <c r="B58" s="70" t="s">
        <v>352</v>
      </c>
      <c r="C58" s="74" t="s">
        <v>179</v>
      </c>
      <c r="D58" s="50">
        <v>1</v>
      </c>
      <c r="E58" s="78">
        <f>+'RECETA BASE'!F272</f>
        <v>1520.4375</v>
      </c>
      <c r="F58" s="52">
        <f t="shared" ref="F58:F63" si="2">+E58*D58</f>
        <v>1520.4375</v>
      </c>
    </row>
    <row r="59" spans="1:6" x14ac:dyDescent="0.25">
      <c r="A59" s="47"/>
      <c r="B59" s="70" t="s">
        <v>218</v>
      </c>
      <c r="C59" s="74" t="s">
        <v>179</v>
      </c>
      <c r="D59" s="50">
        <v>1</v>
      </c>
      <c r="E59" s="78">
        <f>+'RECETA BASE'!F331</f>
        <v>1020.515</v>
      </c>
      <c r="F59" s="52">
        <f t="shared" si="2"/>
        <v>1020.515</v>
      </c>
    </row>
    <row r="60" spans="1:6" x14ac:dyDescent="0.25">
      <c r="A60" s="47"/>
      <c r="B60" s="70" t="s">
        <v>216</v>
      </c>
      <c r="C60" s="74" t="s">
        <v>179</v>
      </c>
      <c r="D60" s="50">
        <v>1</v>
      </c>
      <c r="E60" s="78">
        <f>+'RECETA BASE'!F142</f>
        <v>2184.0239999999999</v>
      </c>
      <c r="F60" s="52">
        <f t="shared" si="2"/>
        <v>2184.0239999999999</v>
      </c>
    </row>
    <row r="61" spans="1:6" x14ac:dyDescent="0.25">
      <c r="A61" s="47"/>
      <c r="B61" s="71" t="s">
        <v>313</v>
      </c>
      <c r="C61" s="74" t="s">
        <v>9</v>
      </c>
      <c r="D61" s="50">
        <v>10</v>
      </c>
      <c r="E61" s="78">
        <f>+'LISTA MAESTRA'!D105</f>
        <v>28.157894736842106</v>
      </c>
      <c r="F61" s="52">
        <f t="shared" si="2"/>
        <v>281.57894736842104</v>
      </c>
    </row>
    <row r="62" spans="1:6" x14ac:dyDescent="0.25">
      <c r="A62" s="47"/>
      <c r="B62" s="71" t="s">
        <v>395</v>
      </c>
      <c r="C62" s="74" t="s">
        <v>179</v>
      </c>
      <c r="D62" s="50"/>
      <c r="E62" s="78"/>
      <c r="F62" s="52">
        <f t="shared" si="2"/>
        <v>0</v>
      </c>
    </row>
    <row r="63" spans="1:6" x14ac:dyDescent="0.25">
      <c r="A63" s="47"/>
      <c r="B63" s="71" t="s">
        <v>315</v>
      </c>
      <c r="C63" s="74" t="s">
        <v>179</v>
      </c>
      <c r="D63" s="54"/>
      <c r="E63" s="78"/>
      <c r="F63" s="52">
        <f t="shared" si="2"/>
        <v>0</v>
      </c>
    </row>
    <row r="64" spans="1:6" x14ac:dyDescent="0.25">
      <c r="A64" s="47"/>
      <c r="B64" s="71"/>
      <c r="C64" s="74"/>
      <c r="D64" s="73"/>
      <c r="E64" s="78"/>
      <c r="F64" s="52"/>
    </row>
    <row r="65" spans="1:6" x14ac:dyDescent="0.25">
      <c r="A65" s="47"/>
      <c r="B65" s="71"/>
      <c r="C65" s="74"/>
      <c r="D65" s="73"/>
      <c r="E65" s="78"/>
      <c r="F65" s="52"/>
    </row>
    <row r="66" spans="1:6" x14ac:dyDescent="0.25">
      <c r="A66" s="47"/>
      <c r="B66" s="71"/>
      <c r="C66" s="74"/>
      <c r="D66" s="50"/>
      <c r="E66" s="78"/>
      <c r="F66" s="52"/>
    </row>
    <row r="67" spans="1:6" x14ac:dyDescent="0.25">
      <c r="A67" s="55"/>
      <c r="B67" s="48"/>
      <c r="C67" s="49"/>
      <c r="D67" s="50"/>
      <c r="E67" s="50"/>
      <c r="F67" s="52"/>
    </row>
    <row r="68" spans="1:6" x14ac:dyDescent="0.25">
      <c r="A68" s="290" t="s">
        <v>45</v>
      </c>
      <c r="B68" s="232"/>
      <c r="C68" s="232"/>
      <c r="D68" s="232"/>
      <c r="E68" s="228"/>
      <c r="F68" s="56">
        <f>SUM(F57:F67)</f>
        <v>5006.5554473684206</v>
      </c>
    </row>
    <row r="69" spans="1:6" x14ac:dyDescent="0.25">
      <c r="A69" s="246" t="s">
        <v>46</v>
      </c>
      <c r="B69" s="232"/>
      <c r="C69" s="232"/>
      <c r="D69" s="228"/>
      <c r="E69" s="40">
        <v>0</v>
      </c>
      <c r="F69" s="57">
        <f>+F68*E69</f>
        <v>0</v>
      </c>
    </row>
    <row r="70" spans="1:6" x14ac:dyDescent="0.25">
      <c r="A70" s="290" t="s">
        <v>50</v>
      </c>
      <c r="B70" s="232"/>
      <c r="C70" s="232"/>
      <c r="D70" s="232"/>
      <c r="E70" s="228"/>
      <c r="F70" s="58">
        <f>+F68+F69</f>
        <v>5006.5554473684206</v>
      </c>
    </row>
    <row r="71" spans="1:6" x14ac:dyDescent="0.25">
      <c r="A71" s="246" t="s">
        <v>51</v>
      </c>
      <c r="B71" s="232"/>
      <c r="C71" s="232"/>
      <c r="D71" s="232"/>
      <c r="E71" s="228"/>
      <c r="F71" s="59">
        <f>+F70/F55</f>
        <v>5006.5554473684206</v>
      </c>
    </row>
    <row r="72" spans="1:6" x14ac:dyDescent="0.25">
      <c r="A72" s="290" t="s">
        <v>53</v>
      </c>
      <c r="B72" s="232"/>
      <c r="C72" s="232"/>
      <c r="D72" s="232"/>
      <c r="E72" s="228"/>
      <c r="F72" s="61">
        <v>0.3</v>
      </c>
    </row>
    <row r="73" spans="1:6" ht="21" customHeight="1" x14ac:dyDescent="0.25">
      <c r="A73" s="246" t="s">
        <v>54</v>
      </c>
      <c r="B73" s="232"/>
      <c r="C73" s="232"/>
      <c r="D73" s="232"/>
      <c r="E73" s="228"/>
      <c r="F73" s="57">
        <f>+F71/F72</f>
        <v>16688.518157894738</v>
      </c>
    </row>
    <row r="74" spans="1:6" x14ac:dyDescent="0.25">
      <c r="A74" s="290" t="s">
        <v>55</v>
      </c>
      <c r="B74" s="232"/>
      <c r="C74" s="232"/>
      <c r="D74" s="232"/>
      <c r="E74" s="228"/>
      <c r="F74" s="56">
        <f>ROUNDUP(F73,-2)</f>
        <v>16700</v>
      </c>
    </row>
    <row r="75" spans="1:6" x14ac:dyDescent="0.25">
      <c r="A75" s="293" t="s">
        <v>56</v>
      </c>
      <c r="B75" s="232"/>
      <c r="C75" s="232"/>
      <c r="D75" s="232"/>
      <c r="E75" s="228"/>
      <c r="F75" s="65">
        <f>+F71/F74</f>
        <v>0.2997937393633785</v>
      </c>
    </row>
    <row r="76" spans="1:6" x14ac:dyDescent="0.25">
      <c r="A76" s="290" t="s">
        <v>57</v>
      </c>
      <c r="B76" s="232"/>
      <c r="C76" s="232"/>
      <c r="D76" s="228"/>
      <c r="E76" s="66">
        <v>0.08</v>
      </c>
      <c r="F76" s="58">
        <f>+F74*E76</f>
        <v>1336</v>
      </c>
    </row>
    <row r="77" spans="1:6" x14ac:dyDescent="0.25">
      <c r="A77" s="246" t="s">
        <v>58</v>
      </c>
      <c r="B77" s="232"/>
      <c r="C77" s="232"/>
      <c r="D77" s="232"/>
      <c r="E77" s="228"/>
      <c r="F77" s="67">
        <f>+F74+F76</f>
        <v>18036</v>
      </c>
    </row>
    <row r="78" spans="1:6" ht="15.75" thickBot="1" x14ac:dyDescent="0.3"/>
    <row r="79" spans="1:6" ht="15.75" thickBot="1" x14ac:dyDescent="0.3">
      <c r="A79" s="252" t="s">
        <v>127</v>
      </c>
      <c r="B79" s="264"/>
      <c r="C79" s="264"/>
      <c r="D79" s="264"/>
      <c r="E79" s="264"/>
      <c r="F79" s="265"/>
    </row>
    <row r="80" spans="1:6" x14ac:dyDescent="0.25">
      <c r="A80" s="261" t="s">
        <v>178</v>
      </c>
      <c r="B80" s="262"/>
      <c r="C80" s="262"/>
      <c r="D80" s="262"/>
      <c r="E80" s="262"/>
      <c r="F80" s="263"/>
    </row>
    <row r="81" spans="1:6" x14ac:dyDescent="0.25">
      <c r="A81" s="286" t="s">
        <v>59</v>
      </c>
      <c r="B81" s="287"/>
      <c r="C81" s="287"/>
      <c r="D81" s="225"/>
      <c r="E81" s="26" t="s">
        <v>49</v>
      </c>
      <c r="F81" s="27">
        <v>26</v>
      </c>
    </row>
    <row r="82" spans="1:6" x14ac:dyDescent="0.25">
      <c r="A82" s="215"/>
      <c r="B82" s="288"/>
      <c r="C82" s="288"/>
      <c r="D82" s="226"/>
      <c r="E82" s="28" t="s">
        <v>37</v>
      </c>
      <c r="F82" s="29">
        <v>1</v>
      </c>
    </row>
    <row r="83" spans="1:6" x14ac:dyDescent="0.25">
      <c r="A83" s="43" t="s">
        <v>38</v>
      </c>
      <c r="B83" s="43" t="s">
        <v>39</v>
      </c>
      <c r="C83" s="43" t="s">
        <v>40</v>
      </c>
      <c r="D83" s="44" t="s">
        <v>41</v>
      </c>
      <c r="E83" s="45" t="s">
        <v>42</v>
      </c>
      <c r="F83" s="46" t="s">
        <v>43</v>
      </c>
    </row>
    <row r="84" spans="1:6" x14ac:dyDescent="0.25">
      <c r="A84" s="47"/>
      <c r="B84" s="70" t="s">
        <v>355</v>
      </c>
      <c r="C84" s="74" t="s">
        <v>179</v>
      </c>
      <c r="D84" s="50">
        <v>1</v>
      </c>
      <c r="E84" s="166">
        <f>+'RECETA BASE'!F406</f>
        <v>3753.853492693373</v>
      </c>
      <c r="F84" s="167">
        <f>+E84*D84</f>
        <v>3753.853492693373</v>
      </c>
    </row>
    <row r="85" spans="1:6" x14ac:dyDescent="0.25">
      <c r="A85" s="47"/>
      <c r="B85" s="70" t="s">
        <v>229</v>
      </c>
      <c r="C85" s="74" t="s">
        <v>179</v>
      </c>
      <c r="D85" s="50"/>
      <c r="E85" s="166"/>
      <c r="F85" s="167">
        <f t="shared" ref="F85:F93" si="3">+E85*D85</f>
        <v>0</v>
      </c>
    </row>
    <row r="86" spans="1:6" x14ac:dyDescent="0.25">
      <c r="A86" s="47"/>
      <c r="B86" s="70" t="s">
        <v>230</v>
      </c>
      <c r="C86" s="74" t="s">
        <v>179</v>
      </c>
      <c r="D86" s="50">
        <v>1</v>
      </c>
      <c r="E86" s="166">
        <f>+'RECETA BASE'!F142</f>
        <v>2184.0239999999999</v>
      </c>
      <c r="F86" s="167">
        <f t="shared" si="3"/>
        <v>2184.0239999999999</v>
      </c>
    </row>
    <row r="87" spans="1:6" x14ac:dyDescent="0.25">
      <c r="A87" s="47"/>
      <c r="B87" s="70" t="s">
        <v>356</v>
      </c>
      <c r="C87" s="74" t="s">
        <v>9</v>
      </c>
      <c r="D87" s="50">
        <v>10</v>
      </c>
      <c r="E87" s="166">
        <f>+'LISTA MAESTRA'!D36</f>
        <v>8.8000000000000007</v>
      </c>
      <c r="F87" s="167">
        <f t="shared" si="3"/>
        <v>88</v>
      </c>
    </row>
    <row r="88" spans="1:6" x14ac:dyDescent="0.25">
      <c r="A88" s="47"/>
      <c r="B88" s="70" t="s">
        <v>278</v>
      </c>
      <c r="C88" s="74" t="s">
        <v>9</v>
      </c>
      <c r="D88" s="50">
        <v>50</v>
      </c>
      <c r="E88" s="166">
        <f>+'LISTA MAESTRA'!D46</f>
        <v>3.2</v>
      </c>
      <c r="F88" s="167">
        <f t="shared" si="3"/>
        <v>160</v>
      </c>
    </row>
    <row r="89" spans="1:6" x14ac:dyDescent="0.25">
      <c r="A89" s="47"/>
      <c r="B89" s="70" t="s">
        <v>324</v>
      </c>
      <c r="C89" s="74" t="s">
        <v>179</v>
      </c>
      <c r="D89" s="50">
        <v>1</v>
      </c>
      <c r="E89" s="166">
        <f>+'RECETA BASE'!F348</f>
        <v>408.75</v>
      </c>
      <c r="F89" s="167">
        <f t="shared" si="3"/>
        <v>408.75</v>
      </c>
    </row>
    <row r="90" spans="1:6" x14ac:dyDescent="0.25">
      <c r="A90" s="47"/>
      <c r="B90" s="70" t="s">
        <v>357</v>
      </c>
      <c r="C90" s="74" t="s">
        <v>9</v>
      </c>
      <c r="D90" s="50">
        <v>100</v>
      </c>
      <c r="E90" s="166">
        <f>+'LISTA MAESTRA'!D74</f>
        <v>23.4</v>
      </c>
      <c r="F90" s="167">
        <f t="shared" si="3"/>
        <v>2340</v>
      </c>
    </row>
    <row r="91" spans="1:6" x14ac:dyDescent="0.25">
      <c r="A91" s="47"/>
      <c r="B91" s="70" t="s">
        <v>423</v>
      </c>
      <c r="C91" s="74" t="s">
        <v>25</v>
      </c>
      <c r="D91" s="50">
        <v>2</v>
      </c>
      <c r="E91" s="166">
        <f>+'LISTA MAESTRA'!D27</f>
        <v>660</v>
      </c>
      <c r="F91" s="167">
        <f t="shared" si="3"/>
        <v>1320</v>
      </c>
    </row>
    <row r="92" spans="1:6" ht="15.75" customHeight="1" x14ac:dyDescent="0.25">
      <c r="A92" s="47"/>
      <c r="B92" s="70" t="s">
        <v>358</v>
      </c>
      <c r="C92" s="74" t="s">
        <v>9</v>
      </c>
      <c r="D92" s="50">
        <v>10</v>
      </c>
      <c r="E92" s="166">
        <f>+'LISTA MAESTRA'!D81</f>
        <v>24.4</v>
      </c>
      <c r="F92" s="167">
        <f t="shared" si="3"/>
        <v>244</v>
      </c>
    </row>
    <row r="93" spans="1:6" x14ac:dyDescent="0.25">
      <c r="A93" s="47"/>
      <c r="B93" s="70"/>
      <c r="C93" s="74"/>
      <c r="D93" s="50"/>
      <c r="E93" s="78"/>
      <c r="F93" s="167">
        <f t="shared" si="3"/>
        <v>0</v>
      </c>
    </row>
    <row r="94" spans="1:6" x14ac:dyDescent="0.25">
      <c r="A94" s="290" t="s">
        <v>45</v>
      </c>
      <c r="B94" s="232"/>
      <c r="C94" s="232"/>
      <c r="D94" s="232"/>
      <c r="E94" s="228"/>
      <c r="F94" s="56">
        <f>SUM(F84:F93)</f>
        <v>10498.627492693373</v>
      </c>
    </row>
    <row r="95" spans="1:6" x14ac:dyDescent="0.25">
      <c r="A95" s="246" t="s">
        <v>46</v>
      </c>
      <c r="B95" s="232"/>
      <c r="C95" s="232"/>
      <c r="D95" s="228"/>
      <c r="E95" s="40">
        <v>0</v>
      </c>
      <c r="F95" s="57">
        <f>+F94*E95</f>
        <v>0</v>
      </c>
    </row>
    <row r="96" spans="1:6" x14ac:dyDescent="0.25">
      <c r="A96" s="290" t="s">
        <v>50</v>
      </c>
      <c r="B96" s="232"/>
      <c r="C96" s="232"/>
      <c r="D96" s="232"/>
      <c r="E96" s="228"/>
      <c r="F96" s="58">
        <f>+F94+F95</f>
        <v>10498.627492693373</v>
      </c>
    </row>
    <row r="97" spans="1:6" x14ac:dyDescent="0.25">
      <c r="A97" s="246" t="s">
        <v>51</v>
      </c>
      <c r="B97" s="232"/>
      <c r="C97" s="232"/>
      <c r="D97" s="232"/>
      <c r="E97" s="228"/>
      <c r="F97" s="59">
        <f>+F96/F82</f>
        <v>10498.627492693373</v>
      </c>
    </row>
    <row r="98" spans="1:6" x14ac:dyDescent="0.25">
      <c r="A98" s="290" t="s">
        <v>53</v>
      </c>
      <c r="B98" s="232"/>
      <c r="C98" s="232"/>
      <c r="D98" s="232"/>
      <c r="E98" s="228"/>
      <c r="F98" s="61">
        <v>0.35</v>
      </c>
    </row>
    <row r="99" spans="1:6" x14ac:dyDescent="0.25">
      <c r="A99" s="246" t="s">
        <v>54</v>
      </c>
      <c r="B99" s="232"/>
      <c r="C99" s="232"/>
      <c r="D99" s="232"/>
      <c r="E99" s="228"/>
      <c r="F99" s="57">
        <f>+F97/F98</f>
        <v>29996.078550552495</v>
      </c>
    </row>
    <row r="100" spans="1:6" x14ac:dyDescent="0.25">
      <c r="A100" s="290" t="s">
        <v>55</v>
      </c>
      <c r="B100" s="232"/>
      <c r="C100" s="232"/>
      <c r="D100" s="232"/>
      <c r="E100" s="228"/>
      <c r="F100" s="56">
        <f>ROUNDUP(F99,-2)</f>
        <v>30000</v>
      </c>
    </row>
    <row r="101" spans="1:6" x14ac:dyDescent="0.25">
      <c r="A101" s="293" t="s">
        <v>56</v>
      </c>
      <c r="B101" s="232"/>
      <c r="C101" s="232"/>
      <c r="D101" s="232"/>
      <c r="E101" s="228"/>
      <c r="F101" s="65">
        <f>+F97/F100</f>
        <v>0.34995424975644579</v>
      </c>
    </row>
    <row r="102" spans="1:6" x14ac:dyDescent="0.25">
      <c r="A102" s="290" t="s">
        <v>57</v>
      </c>
      <c r="B102" s="232"/>
      <c r="C102" s="232"/>
      <c r="D102" s="228"/>
      <c r="E102" s="66">
        <v>0.08</v>
      </c>
      <c r="F102" s="58">
        <f>+F100*E102</f>
        <v>2400</v>
      </c>
    </row>
    <row r="103" spans="1:6" x14ac:dyDescent="0.25">
      <c r="A103" s="246" t="s">
        <v>58</v>
      </c>
      <c r="B103" s="232"/>
      <c r="C103" s="232"/>
      <c r="D103" s="232"/>
      <c r="E103" s="228"/>
      <c r="F103" s="67">
        <f>+F100+F102</f>
        <v>32400</v>
      </c>
    </row>
    <row r="104" spans="1:6" ht="15.75" thickBot="1" x14ac:dyDescent="0.3"/>
    <row r="105" spans="1:6" ht="15.75" thickBot="1" x14ac:dyDescent="0.3">
      <c r="A105" s="252" t="s">
        <v>128</v>
      </c>
      <c r="B105" s="264"/>
      <c r="C105" s="264"/>
      <c r="D105" s="264"/>
      <c r="E105" s="264"/>
      <c r="F105" s="265"/>
    </row>
    <row r="106" spans="1:6" x14ac:dyDescent="0.25">
      <c r="A106" s="261" t="s">
        <v>178</v>
      </c>
      <c r="B106" s="262"/>
      <c r="C106" s="262"/>
      <c r="D106" s="262"/>
      <c r="E106" s="262"/>
      <c r="F106" s="263"/>
    </row>
    <row r="107" spans="1:6" x14ac:dyDescent="0.25">
      <c r="A107" s="286" t="s">
        <v>59</v>
      </c>
      <c r="B107" s="287"/>
      <c r="C107" s="287"/>
      <c r="D107" s="225"/>
      <c r="E107" s="26" t="s">
        <v>49</v>
      </c>
      <c r="F107" s="27">
        <v>27</v>
      </c>
    </row>
    <row r="108" spans="1:6" x14ac:dyDescent="0.25">
      <c r="A108" s="215"/>
      <c r="B108" s="288"/>
      <c r="C108" s="288"/>
      <c r="D108" s="226"/>
      <c r="E108" s="28" t="s">
        <v>37</v>
      </c>
      <c r="F108" s="29">
        <v>1</v>
      </c>
    </row>
    <row r="109" spans="1:6" ht="15.75" customHeight="1" x14ac:dyDescent="0.25">
      <c r="A109" s="43" t="s">
        <v>38</v>
      </c>
      <c r="B109" s="43" t="s">
        <v>39</v>
      </c>
      <c r="C109" s="43" t="s">
        <v>40</v>
      </c>
      <c r="D109" s="44" t="s">
        <v>41</v>
      </c>
      <c r="E109" s="45" t="s">
        <v>42</v>
      </c>
      <c r="F109" s="46" t="s">
        <v>43</v>
      </c>
    </row>
    <row r="110" spans="1:6" ht="21" customHeight="1" x14ac:dyDescent="0.25">
      <c r="A110" s="47"/>
      <c r="B110" s="70" t="s">
        <v>231</v>
      </c>
      <c r="C110" s="74" t="s">
        <v>179</v>
      </c>
      <c r="D110" s="50">
        <v>1</v>
      </c>
      <c r="E110" s="78"/>
      <c r="F110" s="52">
        <f>+E110*D110</f>
        <v>0</v>
      </c>
    </row>
    <row r="111" spans="1:6" x14ac:dyDescent="0.25">
      <c r="A111" s="47"/>
      <c r="B111" s="70" t="s">
        <v>229</v>
      </c>
      <c r="C111" s="74" t="s">
        <v>179</v>
      </c>
      <c r="D111" s="50"/>
      <c r="E111" s="166"/>
      <c r="F111" s="52">
        <f t="shared" ref="F111:F118" si="4">+E111*D111</f>
        <v>0</v>
      </c>
    </row>
    <row r="112" spans="1:6" x14ac:dyDescent="0.25">
      <c r="A112" s="47"/>
      <c r="B112" s="70" t="s">
        <v>230</v>
      </c>
      <c r="C112" s="74" t="s">
        <v>179</v>
      </c>
      <c r="D112" s="50">
        <v>1</v>
      </c>
      <c r="E112" s="166">
        <f>+'RECETA BASE'!F142</f>
        <v>2184.0239999999999</v>
      </c>
      <c r="F112" s="52">
        <f t="shared" si="4"/>
        <v>2184.0239999999999</v>
      </c>
    </row>
    <row r="113" spans="1:6" x14ac:dyDescent="0.25">
      <c r="A113" s="47"/>
      <c r="B113" s="70" t="s">
        <v>356</v>
      </c>
      <c r="C113" s="74" t="s">
        <v>9</v>
      </c>
      <c r="D113" s="50">
        <v>10</v>
      </c>
      <c r="E113" s="166">
        <f>+'LISTA MAESTRA'!D36</f>
        <v>8.8000000000000007</v>
      </c>
      <c r="F113" s="52">
        <f t="shared" si="4"/>
        <v>88</v>
      </c>
    </row>
    <row r="114" spans="1:6" x14ac:dyDescent="0.25">
      <c r="A114" s="47"/>
      <c r="B114" s="70" t="s">
        <v>278</v>
      </c>
      <c r="C114" s="74" t="s">
        <v>9</v>
      </c>
      <c r="D114" s="50">
        <v>50</v>
      </c>
      <c r="E114" s="166">
        <f>+'LISTA MAESTRA'!D46</f>
        <v>3.2</v>
      </c>
      <c r="F114" s="52">
        <f t="shared" si="4"/>
        <v>160</v>
      </c>
    </row>
    <row r="115" spans="1:6" x14ac:dyDescent="0.25">
      <c r="A115" s="47"/>
      <c r="B115" s="70" t="s">
        <v>324</v>
      </c>
      <c r="C115" s="74" t="s">
        <v>179</v>
      </c>
      <c r="D115" s="50">
        <v>1</v>
      </c>
      <c r="E115" s="166">
        <f>+'RECETA BASE'!F348</f>
        <v>408.75</v>
      </c>
      <c r="F115" s="52">
        <f t="shared" si="4"/>
        <v>408.75</v>
      </c>
    </row>
    <row r="116" spans="1:6" x14ac:dyDescent="0.25">
      <c r="A116" s="47"/>
      <c r="B116" s="70" t="s">
        <v>357</v>
      </c>
      <c r="C116" s="74" t="s">
        <v>9</v>
      </c>
      <c r="D116" s="50">
        <v>100</v>
      </c>
      <c r="E116" s="166">
        <f>+'LISTA MAESTRA'!D74</f>
        <v>23.4</v>
      </c>
      <c r="F116" s="52">
        <f t="shared" si="4"/>
        <v>2340</v>
      </c>
    </row>
    <row r="117" spans="1:6" x14ac:dyDescent="0.25">
      <c r="A117" s="47"/>
      <c r="B117" s="70" t="s">
        <v>423</v>
      </c>
      <c r="C117" s="74" t="s">
        <v>25</v>
      </c>
      <c r="D117" s="50">
        <v>2</v>
      </c>
      <c r="E117" s="166">
        <f>+'LISTA MAESTRA'!D27</f>
        <v>660</v>
      </c>
      <c r="F117" s="52">
        <f t="shared" si="4"/>
        <v>1320</v>
      </c>
    </row>
    <row r="118" spans="1:6" x14ac:dyDescent="0.25">
      <c r="A118" s="47"/>
      <c r="B118" s="70" t="s">
        <v>358</v>
      </c>
      <c r="C118" s="74" t="s">
        <v>9</v>
      </c>
      <c r="D118" s="50">
        <v>10</v>
      </c>
      <c r="E118" s="166">
        <f>+'LISTA MAESTRA'!D81</f>
        <v>24.4</v>
      </c>
      <c r="F118" s="52">
        <f t="shared" si="4"/>
        <v>244</v>
      </c>
    </row>
    <row r="119" spans="1:6" x14ac:dyDescent="0.25">
      <c r="A119" s="47"/>
      <c r="B119" s="70"/>
      <c r="C119" s="74"/>
      <c r="D119" s="50"/>
      <c r="E119" s="78"/>
      <c r="F119" s="52"/>
    </row>
    <row r="120" spans="1:6" x14ac:dyDescent="0.25">
      <c r="A120" s="47"/>
      <c r="B120" s="70"/>
      <c r="C120" s="74"/>
      <c r="D120" s="50"/>
      <c r="E120" s="78"/>
      <c r="F120" s="52"/>
    </row>
    <row r="121" spans="1:6" x14ac:dyDescent="0.25">
      <c r="A121" s="55"/>
      <c r="B121" s="70"/>
      <c r="C121" s="74"/>
      <c r="D121" s="50"/>
      <c r="E121" s="50"/>
      <c r="F121" s="52"/>
    </row>
    <row r="122" spans="1:6" x14ac:dyDescent="0.25">
      <c r="A122" s="290" t="s">
        <v>45</v>
      </c>
      <c r="B122" s="232"/>
      <c r="C122" s="232"/>
      <c r="D122" s="232"/>
      <c r="E122" s="228"/>
      <c r="F122" s="56">
        <f>SUM(F110:F121)</f>
        <v>6744.7739999999994</v>
      </c>
    </row>
    <row r="123" spans="1:6" x14ac:dyDescent="0.25">
      <c r="A123" s="246" t="s">
        <v>46</v>
      </c>
      <c r="B123" s="232"/>
      <c r="C123" s="232"/>
      <c r="D123" s="228"/>
      <c r="E123" s="40">
        <v>0</v>
      </c>
      <c r="F123" s="57">
        <f>+F122*E123</f>
        <v>0</v>
      </c>
    </row>
    <row r="124" spans="1:6" x14ac:dyDescent="0.25">
      <c r="A124" s="290" t="s">
        <v>50</v>
      </c>
      <c r="B124" s="232"/>
      <c r="C124" s="232"/>
      <c r="D124" s="232"/>
      <c r="E124" s="228"/>
      <c r="F124" s="58">
        <f>+F122+F123</f>
        <v>6744.7739999999994</v>
      </c>
    </row>
    <row r="125" spans="1:6" x14ac:dyDescent="0.25">
      <c r="A125" s="246" t="s">
        <v>51</v>
      </c>
      <c r="B125" s="232"/>
      <c r="C125" s="232"/>
      <c r="D125" s="232"/>
      <c r="E125" s="228"/>
      <c r="F125" s="59">
        <f>+F124/F108</f>
        <v>6744.7739999999994</v>
      </c>
    </row>
    <row r="126" spans="1:6" x14ac:dyDescent="0.25">
      <c r="A126" s="290" t="s">
        <v>53</v>
      </c>
      <c r="B126" s="232"/>
      <c r="C126" s="232"/>
      <c r="D126" s="232"/>
      <c r="E126" s="228"/>
      <c r="F126" s="61">
        <v>0.35</v>
      </c>
    </row>
    <row r="127" spans="1:6" x14ac:dyDescent="0.25">
      <c r="A127" s="246" t="s">
        <v>54</v>
      </c>
      <c r="B127" s="232"/>
      <c r="C127" s="232"/>
      <c r="D127" s="232"/>
      <c r="E127" s="228"/>
      <c r="F127" s="57">
        <f>+F125/F126</f>
        <v>19270.782857142858</v>
      </c>
    </row>
    <row r="128" spans="1:6" x14ac:dyDescent="0.25">
      <c r="A128" s="290" t="s">
        <v>55</v>
      </c>
      <c r="B128" s="232"/>
      <c r="C128" s="232"/>
      <c r="D128" s="232"/>
      <c r="E128" s="228"/>
      <c r="F128" s="56">
        <f>ROUNDUP(F127,-2)</f>
        <v>19300</v>
      </c>
    </row>
    <row r="129" spans="1:6" ht="15.75" customHeight="1" x14ac:dyDescent="0.25">
      <c r="A129" s="293" t="s">
        <v>56</v>
      </c>
      <c r="B129" s="232"/>
      <c r="C129" s="232"/>
      <c r="D129" s="232"/>
      <c r="E129" s="228"/>
      <c r="F129" s="65">
        <f>+F125/F128</f>
        <v>0.34947015544041449</v>
      </c>
    </row>
    <row r="130" spans="1:6" ht="15.75" customHeight="1" x14ac:dyDescent="0.25">
      <c r="A130" s="290" t="s">
        <v>57</v>
      </c>
      <c r="B130" s="232"/>
      <c r="C130" s="232"/>
      <c r="D130" s="228"/>
      <c r="E130" s="66">
        <v>0.08</v>
      </c>
      <c r="F130" s="58">
        <f>+F128*E130</f>
        <v>1544</v>
      </c>
    </row>
    <row r="131" spans="1:6" ht="15.75" customHeight="1" x14ac:dyDescent="0.25">
      <c r="A131" s="246" t="s">
        <v>58</v>
      </c>
      <c r="B131" s="232"/>
      <c r="C131" s="232"/>
      <c r="D131" s="232"/>
      <c r="E131" s="228"/>
      <c r="F131" s="67">
        <f>+F128+F130</f>
        <v>20844</v>
      </c>
    </row>
    <row r="132" spans="1:6" ht="15.75" customHeight="1" thickBot="1" x14ac:dyDescent="0.3"/>
    <row r="133" spans="1:6" ht="15.75" customHeight="1" thickBot="1" x14ac:dyDescent="0.3">
      <c r="A133" s="252" t="s">
        <v>129</v>
      </c>
      <c r="B133" s="264"/>
      <c r="C133" s="264"/>
      <c r="D133" s="264"/>
      <c r="E133" s="264"/>
      <c r="F133" s="265"/>
    </row>
    <row r="134" spans="1:6" ht="15.75" customHeight="1" x14ac:dyDescent="0.25">
      <c r="A134" s="261" t="s">
        <v>178</v>
      </c>
      <c r="B134" s="262"/>
      <c r="C134" s="262"/>
      <c r="D134" s="262"/>
      <c r="E134" s="262"/>
      <c r="F134" s="263"/>
    </row>
    <row r="135" spans="1:6" ht="15.75" customHeight="1" x14ac:dyDescent="0.25">
      <c r="A135" s="286" t="s">
        <v>59</v>
      </c>
      <c r="B135" s="287"/>
      <c r="C135" s="287"/>
      <c r="D135" s="225"/>
      <c r="E135" s="26" t="s">
        <v>49</v>
      </c>
      <c r="F135" s="27">
        <v>28</v>
      </c>
    </row>
    <row r="136" spans="1:6" ht="15.75" customHeight="1" x14ac:dyDescent="0.25">
      <c r="A136" s="215"/>
      <c r="B136" s="288"/>
      <c r="C136" s="288"/>
      <c r="D136" s="226"/>
      <c r="E136" s="28" t="s">
        <v>37</v>
      </c>
      <c r="F136" s="29">
        <v>1</v>
      </c>
    </row>
    <row r="137" spans="1:6" ht="15.75" customHeight="1" x14ac:dyDescent="0.25">
      <c r="A137" s="43" t="s">
        <v>38</v>
      </c>
      <c r="B137" s="43" t="s">
        <v>39</v>
      </c>
      <c r="C137" s="43" t="s">
        <v>40</v>
      </c>
      <c r="D137" s="44" t="s">
        <v>41</v>
      </c>
      <c r="E137" s="45" t="s">
        <v>42</v>
      </c>
      <c r="F137" s="46" t="s">
        <v>43</v>
      </c>
    </row>
    <row r="138" spans="1:6" ht="15.75" customHeight="1" x14ac:dyDescent="0.25">
      <c r="A138" s="47"/>
      <c r="B138" s="70" t="s">
        <v>129</v>
      </c>
      <c r="C138" s="74" t="s">
        <v>179</v>
      </c>
      <c r="D138" s="50"/>
      <c r="E138" s="78"/>
      <c r="F138" s="52">
        <f>+E138*D138</f>
        <v>0</v>
      </c>
    </row>
    <row r="139" spans="1:6" ht="15.75" customHeight="1" x14ac:dyDescent="0.25">
      <c r="A139" s="47"/>
      <c r="B139" s="70" t="s">
        <v>229</v>
      </c>
      <c r="C139" s="74" t="s">
        <v>179</v>
      </c>
      <c r="D139" s="50"/>
      <c r="E139" s="78"/>
      <c r="F139" s="52">
        <f t="shared" ref="F139:F146" si="5">+E139*D139</f>
        <v>0</v>
      </c>
    </row>
    <row r="140" spans="1:6" ht="15.75" customHeight="1" x14ac:dyDescent="0.25">
      <c r="A140" s="47"/>
      <c r="B140" s="70" t="s">
        <v>230</v>
      </c>
      <c r="C140" s="74" t="s">
        <v>179</v>
      </c>
      <c r="D140" s="50">
        <v>1</v>
      </c>
      <c r="E140" s="78">
        <f>+'RECETA BASE'!F142</f>
        <v>2184.0239999999999</v>
      </c>
      <c r="F140" s="52">
        <f t="shared" si="5"/>
        <v>2184.0239999999999</v>
      </c>
    </row>
    <row r="141" spans="1:6" ht="15.75" customHeight="1" x14ac:dyDescent="0.25">
      <c r="A141" s="47"/>
      <c r="B141" s="70" t="s">
        <v>356</v>
      </c>
      <c r="C141" s="74" t="s">
        <v>9</v>
      </c>
      <c r="D141" s="50">
        <v>10</v>
      </c>
      <c r="E141" s="78">
        <f>+'LISTA MAESTRA'!D36</f>
        <v>8.8000000000000007</v>
      </c>
      <c r="F141" s="52">
        <f t="shared" si="5"/>
        <v>88</v>
      </c>
    </row>
    <row r="142" spans="1:6" ht="15.75" customHeight="1" x14ac:dyDescent="0.25">
      <c r="A142" s="47"/>
      <c r="B142" s="70" t="s">
        <v>278</v>
      </c>
      <c r="C142" s="74" t="s">
        <v>9</v>
      </c>
      <c r="D142" s="50">
        <v>50</v>
      </c>
      <c r="E142" s="78">
        <f>+'LISTA MAESTRA'!D46</f>
        <v>3.2</v>
      </c>
      <c r="F142" s="52">
        <f t="shared" si="5"/>
        <v>160</v>
      </c>
    </row>
    <row r="143" spans="1:6" ht="15.75" customHeight="1" x14ac:dyDescent="0.25">
      <c r="A143" s="47"/>
      <c r="B143" s="70" t="s">
        <v>324</v>
      </c>
      <c r="C143" s="74" t="s">
        <v>179</v>
      </c>
      <c r="D143" s="50">
        <v>1</v>
      </c>
      <c r="E143" s="78">
        <f>+'RECETA BASE'!F348</f>
        <v>408.75</v>
      </c>
      <c r="F143" s="52">
        <f t="shared" si="5"/>
        <v>408.75</v>
      </c>
    </row>
    <row r="144" spans="1:6" ht="15.75" customHeight="1" x14ac:dyDescent="0.25">
      <c r="A144" s="47"/>
      <c r="B144" s="70" t="s">
        <v>357</v>
      </c>
      <c r="C144" s="74" t="s">
        <v>9</v>
      </c>
      <c r="D144" s="50">
        <v>100</v>
      </c>
      <c r="E144" s="78">
        <f>+'LISTA MAESTRA'!D74</f>
        <v>23.4</v>
      </c>
      <c r="F144" s="52">
        <f t="shared" si="5"/>
        <v>2340</v>
      </c>
    </row>
    <row r="145" spans="1:6" ht="15.75" customHeight="1" x14ac:dyDescent="0.25">
      <c r="A145" s="47"/>
      <c r="B145" s="70" t="s">
        <v>423</v>
      </c>
      <c r="C145" s="74" t="s">
        <v>25</v>
      </c>
      <c r="D145" s="50">
        <v>2</v>
      </c>
      <c r="E145" s="78">
        <f>+'LISTA MAESTRA'!D27</f>
        <v>660</v>
      </c>
      <c r="F145" s="52">
        <f t="shared" si="5"/>
        <v>1320</v>
      </c>
    </row>
    <row r="146" spans="1:6" ht="15.75" customHeight="1" x14ac:dyDescent="0.25">
      <c r="A146" s="47"/>
      <c r="B146" s="70" t="s">
        <v>358</v>
      </c>
      <c r="C146" s="74" t="s">
        <v>9</v>
      </c>
      <c r="D146" s="50">
        <v>10</v>
      </c>
      <c r="E146" s="78">
        <f>+'LISTA MAESTRA'!D81</f>
        <v>24.4</v>
      </c>
      <c r="F146" s="52">
        <f t="shared" si="5"/>
        <v>244</v>
      </c>
    </row>
    <row r="147" spans="1:6" ht="15.75" customHeight="1" x14ac:dyDescent="0.25">
      <c r="A147" s="55"/>
      <c r="B147" s="48"/>
      <c r="C147" s="49"/>
      <c r="D147" s="50"/>
      <c r="E147" s="50"/>
      <c r="F147" s="52"/>
    </row>
    <row r="148" spans="1:6" ht="15.75" customHeight="1" x14ac:dyDescent="0.25">
      <c r="A148" s="290" t="s">
        <v>45</v>
      </c>
      <c r="B148" s="232"/>
      <c r="C148" s="232"/>
      <c r="D148" s="232"/>
      <c r="E148" s="228"/>
      <c r="F148" s="56">
        <f>SUM(F138:F147)</f>
        <v>6744.7739999999994</v>
      </c>
    </row>
    <row r="149" spans="1:6" ht="15.75" customHeight="1" x14ac:dyDescent="0.25">
      <c r="A149" s="246" t="s">
        <v>46</v>
      </c>
      <c r="B149" s="232"/>
      <c r="C149" s="232"/>
      <c r="D149" s="228"/>
      <c r="E149" s="40">
        <v>0</v>
      </c>
      <c r="F149" s="57">
        <f>+F148*E149</f>
        <v>0</v>
      </c>
    </row>
    <row r="150" spans="1:6" ht="15.75" customHeight="1" x14ac:dyDescent="0.25">
      <c r="A150" s="290" t="s">
        <v>50</v>
      </c>
      <c r="B150" s="232"/>
      <c r="C150" s="232"/>
      <c r="D150" s="232"/>
      <c r="E150" s="228"/>
      <c r="F150" s="58">
        <f>+F148+F149</f>
        <v>6744.7739999999994</v>
      </c>
    </row>
    <row r="151" spans="1:6" ht="15.75" customHeight="1" x14ac:dyDescent="0.25">
      <c r="A151" s="246" t="s">
        <v>51</v>
      </c>
      <c r="B151" s="232"/>
      <c r="C151" s="232"/>
      <c r="D151" s="232"/>
      <c r="E151" s="228"/>
      <c r="F151" s="59">
        <f>+F150/F136</f>
        <v>6744.7739999999994</v>
      </c>
    </row>
    <row r="152" spans="1:6" ht="15.75" customHeight="1" x14ac:dyDescent="0.25">
      <c r="A152" s="290" t="s">
        <v>53</v>
      </c>
      <c r="B152" s="232"/>
      <c r="C152" s="232"/>
      <c r="D152" s="232"/>
      <c r="E152" s="228"/>
      <c r="F152" s="61">
        <v>0.35</v>
      </c>
    </row>
    <row r="153" spans="1:6" ht="15.75" customHeight="1" x14ac:dyDescent="0.25">
      <c r="A153" s="246" t="s">
        <v>54</v>
      </c>
      <c r="B153" s="232"/>
      <c r="C153" s="232"/>
      <c r="D153" s="232"/>
      <c r="E153" s="228"/>
      <c r="F153" s="57">
        <f>+F151/F152</f>
        <v>19270.782857142858</v>
      </c>
    </row>
    <row r="154" spans="1:6" ht="15.75" customHeight="1" x14ac:dyDescent="0.25">
      <c r="A154" s="290" t="s">
        <v>55</v>
      </c>
      <c r="B154" s="232"/>
      <c r="C154" s="232"/>
      <c r="D154" s="232"/>
      <c r="E154" s="228"/>
      <c r="F154" s="56">
        <f>ROUNDUP(F153,-2)</f>
        <v>19300</v>
      </c>
    </row>
    <row r="155" spans="1:6" ht="15.75" customHeight="1" x14ac:dyDescent="0.25">
      <c r="A155" s="293" t="s">
        <v>56</v>
      </c>
      <c r="B155" s="232"/>
      <c r="C155" s="232"/>
      <c r="D155" s="232"/>
      <c r="E155" s="228"/>
      <c r="F155" s="65">
        <f>+F151/F154</f>
        <v>0.34947015544041449</v>
      </c>
    </row>
    <row r="156" spans="1:6" ht="15.75" customHeight="1" x14ac:dyDescent="0.25">
      <c r="A156" s="290" t="s">
        <v>57</v>
      </c>
      <c r="B156" s="232"/>
      <c r="C156" s="232"/>
      <c r="D156" s="228"/>
      <c r="E156" s="66">
        <v>0.08</v>
      </c>
      <c r="F156" s="58">
        <f>+F154*E156</f>
        <v>1544</v>
      </c>
    </row>
    <row r="157" spans="1:6" ht="15.75" customHeight="1" x14ac:dyDescent="0.25">
      <c r="A157" s="246" t="s">
        <v>58</v>
      </c>
      <c r="B157" s="232"/>
      <c r="C157" s="232"/>
      <c r="D157" s="232"/>
      <c r="E157" s="228"/>
      <c r="F157" s="67">
        <f>+F154+F156</f>
        <v>20844</v>
      </c>
    </row>
    <row r="158" spans="1:6" ht="15.75" customHeight="1" x14ac:dyDescent="0.25"/>
    <row r="159" spans="1:6" ht="15.75" customHeight="1" x14ac:dyDescent="0.25"/>
    <row r="160" spans="1:6"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sheetData>
  <mergeCells count="78">
    <mergeCell ref="A2:F2"/>
    <mergeCell ref="A3:D4"/>
    <mergeCell ref="A1:F1"/>
    <mergeCell ref="A21:E21"/>
    <mergeCell ref="A22:E22"/>
    <mergeCell ref="A23:D23"/>
    <mergeCell ref="A24:E24"/>
    <mergeCell ref="A27:F27"/>
    <mergeCell ref="A15:E15"/>
    <mergeCell ref="A16:D16"/>
    <mergeCell ref="A17:E17"/>
    <mergeCell ref="A18:E18"/>
    <mergeCell ref="A19:E19"/>
    <mergeCell ref="A20:E20"/>
    <mergeCell ref="A28:F28"/>
    <mergeCell ref="A29:D30"/>
    <mergeCell ref="A46:E46"/>
    <mergeCell ref="A47:E47"/>
    <mergeCell ref="A48:D48"/>
    <mergeCell ref="A49:E49"/>
    <mergeCell ref="A52:F52"/>
    <mergeCell ref="A40:E40"/>
    <mergeCell ref="A41:D41"/>
    <mergeCell ref="A42:E42"/>
    <mergeCell ref="A43:E43"/>
    <mergeCell ref="A44:E44"/>
    <mergeCell ref="A45:E45"/>
    <mergeCell ref="A53:F53"/>
    <mergeCell ref="A54:D55"/>
    <mergeCell ref="A74:E74"/>
    <mergeCell ref="A75:E75"/>
    <mergeCell ref="A76:D76"/>
    <mergeCell ref="A77:E77"/>
    <mergeCell ref="A79:F79"/>
    <mergeCell ref="A68:E68"/>
    <mergeCell ref="A69:D69"/>
    <mergeCell ref="A70:E70"/>
    <mergeCell ref="A71:E71"/>
    <mergeCell ref="A72:E72"/>
    <mergeCell ref="A73:E73"/>
    <mergeCell ref="A80:F80"/>
    <mergeCell ref="A81:D82"/>
    <mergeCell ref="A100:E100"/>
    <mergeCell ref="A101:E101"/>
    <mergeCell ref="A102:D102"/>
    <mergeCell ref="A103:E103"/>
    <mergeCell ref="A105:F105"/>
    <mergeCell ref="A94:E94"/>
    <mergeCell ref="A95:D95"/>
    <mergeCell ref="A96:E96"/>
    <mergeCell ref="A97:E97"/>
    <mergeCell ref="A98:E98"/>
    <mergeCell ref="A99:E99"/>
    <mergeCell ref="A106:F106"/>
    <mergeCell ref="A107:D108"/>
    <mergeCell ref="A128:E128"/>
    <mergeCell ref="A129:E129"/>
    <mergeCell ref="A130:D130"/>
    <mergeCell ref="A131:E131"/>
    <mergeCell ref="A133:F133"/>
    <mergeCell ref="A122:E122"/>
    <mergeCell ref="A123:D123"/>
    <mergeCell ref="A124:E124"/>
    <mergeCell ref="A125:E125"/>
    <mergeCell ref="A126:E126"/>
    <mergeCell ref="A127:E127"/>
    <mergeCell ref="A134:F134"/>
    <mergeCell ref="A135:D136"/>
    <mergeCell ref="A154:E154"/>
    <mergeCell ref="A155:E155"/>
    <mergeCell ref="A156:D156"/>
    <mergeCell ref="A157:E157"/>
    <mergeCell ref="A148:E148"/>
    <mergeCell ref="A149:D149"/>
    <mergeCell ref="A150:E150"/>
    <mergeCell ref="A151:E151"/>
    <mergeCell ref="A152:E152"/>
    <mergeCell ref="A153:E153"/>
  </mergeCells>
  <hyperlinks>
    <hyperlink ref="H2" location="'LISTA MAESTRA'!A1" display="LISTA MAESTRA" xr:uid="{5D937900-5E94-489E-9BA3-112C0353A6FB}"/>
    <hyperlink ref="I2" location="'RECETA BASE'!A1" display="'RECETA BASE'" xr:uid="{54BAB11C-C3F1-42E6-8838-6FFC4AAF0E47}"/>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9A4EB-ECE0-4F88-B0FD-644DD6E5E741}">
  <sheetPr>
    <tabColor rgb="FF7030A0"/>
  </sheetPr>
  <dimension ref="A1:V654"/>
  <sheetViews>
    <sheetView workbookViewId="0">
      <selection activeCell="F43" sqref="F43"/>
    </sheetView>
  </sheetViews>
  <sheetFormatPr baseColWidth="10" defaultColWidth="14.42578125" defaultRowHeight="15" customHeight="1" x14ac:dyDescent="0.25"/>
  <cols>
    <col min="1" max="1" width="10.7109375" customWidth="1"/>
    <col min="2" max="2" width="34.28515625" bestFit="1" customWidth="1"/>
    <col min="3" max="4" width="10.7109375" customWidth="1"/>
    <col min="5" max="5" width="13" customWidth="1"/>
    <col min="6" max="6" width="10.7109375" customWidth="1"/>
    <col min="7" max="7" width="4.42578125" customWidth="1"/>
    <col min="8" max="8" width="14.5703125" customWidth="1"/>
    <col min="9" max="9" width="13.28515625" customWidth="1"/>
    <col min="10" max="14" width="10.7109375" customWidth="1"/>
    <col min="15" max="15" width="4.28515625" customWidth="1"/>
    <col min="16" max="26" width="10.7109375" customWidth="1"/>
  </cols>
  <sheetData>
    <row r="1" spans="1:22" ht="21" customHeight="1" thickBot="1" x14ac:dyDescent="0.3">
      <c r="A1" s="252" t="s">
        <v>131</v>
      </c>
      <c r="B1" s="264"/>
      <c r="C1" s="264"/>
      <c r="D1" s="264"/>
      <c r="E1" s="264"/>
      <c r="F1" s="265"/>
      <c r="P1" s="307" t="s">
        <v>33</v>
      </c>
      <c r="Q1" s="232"/>
      <c r="R1" s="232"/>
      <c r="S1" s="232"/>
      <c r="T1" s="232"/>
      <c r="U1" s="232"/>
      <c r="V1" s="228"/>
    </row>
    <row r="2" spans="1:22" x14ac:dyDescent="0.25">
      <c r="A2" s="261" t="s">
        <v>178</v>
      </c>
      <c r="B2" s="262"/>
      <c r="C2" s="262"/>
      <c r="D2" s="262"/>
      <c r="E2" s="262"/>
      <c r="F2" s="263"/>
      <c r="H2" s="38" t="s">
        <v>44</v>
      </c>
      <c r="I2" s="60" t="s">
        <v>52</v>
      </c>
      <c r="P2" s="308"/>
      <c r="Q2" s="287"/>
      <c r="R2" s="287"/>
      <c r="S2" s="287"/>
      <c r="T2" s="287"/>
      <c r="U2" s="287"/>
      <c r="V2" s="225"/>
    </row>
    <row r="3" spans="1:22" x14ac:dyDescent="0.25">
      <c r="A3" s="286" t="s">
        <v>59</v>
      </c>
      <c r="B3" s="287"/>
      <c r="C3" s="287"/>
      <c r="D3" s="225"/>
      <c r="E3" s="26" t="s">
        <v>49</v>
      </c>
      <c r="F3" s="27">
        <v>1</v>
      </c>
      <c r="P3" s="213"/>
      <c r="Q3" s="230"/>
      <c r="R3" s="230"/>
      <c r="S3" s="230"/>
      <c r="T3" s="230"/>
      <c r="U3" s="230"/>
      <c r="V3" s="235"/>
    </row>
    <row r="4" spans="1:22" x14ac:dyDescent="0.25">
      <c r="A4" s="215"/>
      <c r="B4" s="288"/>
      <c r="C4" s="288"/>
      <c r="D4" s="226"/>
      <c r="E4" s="28" t="s">
        <v>37</v>
      </c>
      <c r="F4" s="29">
        <v>1</v>
      </c>
      <c r="P4" s="213"/>
      <c r="Q4" s="230"/>
      <c r="R4" s="230"/>
      <c r="S4" s="230"/>
      <c r="T4" s="230"/>
      <c r="U4" s="230"/>
      <c r="V4" s="235"/>
    </row>
    <row r="5" spans="1:22" x14ac:dyDescent="0.25">
      <c r="A5" s="43" t="s">
        <v>38</v>
      </c>
      <c r="B5" s="43" t="s">
        <v>39</v>
      </c>
      <c r="C5" s="43" t="s">
        <v>40</v>
      </c>
      <c r="D5" s="44" t="s">
        <v>41</v>
      </c>
      <c r="E5" s="45" t="s">
        <v>42</v>
      </c>
      <c r="F5" s="46" t="s">
        <v>43</v>
      </c>
      <c r="P5" s="213"/>
      <c r="Q5" s="230"/>
      <c r="R5" s="230"/>
      <c r="S5" s="230"/>
      <c r="T5" s="230"/>
      <c r="U5" s="230"/>
      <c r="V5" s="235"/>
    </row>
    <row r="6" spans="1:22" x14ac:dyDescent="0.25">
      <c r="A6" s="47"/>
      <c r="B6" s="70" t="s">
        <v>425</v>
      </c>
      <c r="C6" s="74" t="s">
        <v>179</v>
      </c>
      <c r="D6" s="50">
        <v>1</v>
      </c>
      <c r="E6" s="51">
        <f>+'RECETA BASE'!F202</f>
        <v>3239.7929932189991</v>
      </c>
      <c r="F6" s="52">
        <f>+E6*D6</f>
        <v>3239.7929932189991</v>
      </c>
      <c r="P6" s="213"/>
      <c r="Q6" s="230"/>
      <c r="R6" s="230"/>
      <c r="S6" s="230"/>
      <c r="T6" s="230"/>
      <c r="U6" s="230"/>
      <c r="V6" s="235"/>
    </row>
    <row r="7" spans="1:22" x14ac:dyDescent="0.25">
      <c r="A7" s="47"/>
      <c r="B7" s="70" t="s">
        <v>254</v>
      </c>
      <c r="C7" s="74" t="s">
        <v>9</v>
      </c>
      <c r="D7" s="50">
        <v>400</v>
      </c>
      <c r="E7" s="51">
        <f>+'LISTA MAESTRA'!D96</f>
        <v>3.4</v>
      </c>
      <c r="F7" s="52">
        <f t="shared" ref="F7:F14" si="0">+E7*D7</f>
        <v>1360</v>
      </c>
      <c r="P7" s="213"/>
      <c r="Q7" s="230"/>
      <c r="R7" s="230"/>
      <c r="S7" s="230"/>
      <c r="T7" s="230"/>
      <c r="U7" s="230"/>
      <c r="V7" s="235"/>
    </row>
    <row r="8" spans="1:22" x14ac:dyDescent="0.25">
      <c r="A8" s="47"/>
      <c r="B8" s="70" t="s">
        <v>424</v>
      </c>
      <c r="C8" s="74" t="s">
        <v>9</v>
      </c>
      <c r="D8" s="50">
        <v>60</v>
      </c>
      <c r="E8" s="51">
        <f>+'LISTA MAESTRA'!D123</f>
        <v>30.5</v>
      </c>
      <c r="F8" s="52">
        <f t="shared" si="0"/>
        <v>1830</v>
      </c>
      <c r="P8" s="213"/>
      <c r="Q8" s="230"/>
      <c r="R8" s="230"/>
      <c r="S8" s="230"/>
      <c r="T8" s="230"/>
      <c r="U8" s="230"/>
      <c r="V8" s="235"/>
    </row>
    <row r="9" spans="1:22" x14ac:dyDescent="0.25">
      <c r="A9" s="47"/>
      <c r="B9" s="70" t="s">
        <v>180</v>
      </c>
      <c r="C9" s="74" t="s">
        <v>25</v>
      </c>
      <c r="D9" s="50">
        <v>4</v>
      </c>
      <c r="E9" s="51">
        <f>+'LISTA MAESTRA'!D39</f>
        <v>433.33333333333331</v>
      </c>
      <c r="F9" s="52">
        <f t="shared" si="0"/>
        <v>1733.3333333333333</v>
      </c>
      <c r="P9" s="213"/>
      <c r="Q9" s="230"/>
      <c r="R9" s="230"/>
      <c r="S9" s="230"/>
      <c r="T9" s="230"/>
      <c r="U9" s="230"/>
      <c r="V9" s="235"/>
    </row>
    <row r="10" spans="1:22" x14ac:dyDescent="0.25">
      <c r="A10" s="47"/>
      <c r="B10" s="70"/>
      <c r="C10" s="74"/>
      <c r="D10" s="50"/>
      <c r="E10" s="51"/>
      <c r="F10" s="52">
        <f t="shared" si="0"/>
        <v>0</v>
      </c>
      <c r="P10" s="213"/>
      <c r="Q10" s="230"/>
      <c r="R10" s="230"/>
      <c r="S10" s="230"/>
      <c r="T10" s="230"/>
      <c r="U10" s="230"/>
      <c r="V10" s="235"/>
    </row>
    <row r="11" spans="1:22" x14ac:dyDescent="0.25">
      <c r="A11" s="53"/>
      <c r="B11" s="71"/>
      <c r="C11" s="74"/>
      <c r="D11" s="54"/>
      <c r="E11" s="52"/>
      <c r="F11" s="52">
        <f t="shared" si="0"/>
        <v>0</v>
      </c>
      <c r="P11" s="213"/>
      <c r="Q11" s="230"/>
      <c r="R11" s="230"/>
      <c r="S11" s="230"/>
      <c r="T11" s="230"/>
      <c r="U11" s="230"/>
      <c r="V11" s="235"/>
    </row>
    <row r="12" spans="1:22" x14ac:dyDescent="0.25">
      <c r="A12" s="72"/>
      <c r="B12" s="71"/>
      <c r="C12" s="74"/>
      <c r="D12" s="73"/>
      <c r="E12" s="52"/>
      <c r="F12" s="52">
        <f t="shared" si="0"/>
        <v>0</v>
      </c>
      <c r="P12" s="309"/>
      <c r="Q12" s="230"/>
      <c r="R12" s="230"/>
      <c r="S12" s="230"/>
      <c r="T12" s="230"/>
      <c r="U12" s="230"/>
      <c r="V12" s="235"/>
    </row>
    <row r="13" spans="1:22" x14ac:dyDescent="0.25">
      <c r="A13" s="72"/>
      <c r="B13" s="71"/>
      <c r="C13" s="49"/>
      <c r="D13" s="73"/>
      <c r="E13" s="52"/>
      <c r="F13" s="52">
        <f t="shared" si="0"/>
        <v>0</v>
      </c>
      <c r="P13" s="309"/>
      <c r="Q13" s="230"/>
      <c r="R13" s="230"/>
      <c r="S13" s="230"/>
      <c r="T13" s="230"/>
      <c r="U13" s="230"/>
      <c r="V13" s="235"/>
    </row>
    <row r="14" spans="1:22" x14ac:dyDescent="0.25">
      <c r="A14" s="55"/>
      <c r="B14" s="48"/>
      <c r="C14" s="49"/>
      <c r="D14" s="50"/>
      <c r="E14" s="52"/>
      <c r="F14" s="52">
        <f t="shared" si="0"/>
        <v>0</v>
      </c>
      <c r="P14" s="213"/>
      <c r="Q14" s="230"/>
      <c r="R14" s="230"/>
      <c r="S14" s="230"/>
      <c r="T14" s="230"/>
      <c r="U14" s="230"/>
      <c r="V14" s="235"/>
    </row>
    <row r="15" spans="1:22" x14ac:dyDescent="0.25">
      <c r="A15" s="290" t="s">
        <v>45</v>
      </c>
      <c r="B15" s="232"/>
      <c r="C15" s="232"/>
      <c r="D15" s="232"/>
      <c r="E15" s="228"/>
      <c r="F15" s="56">
        <f>SUM(F6:F14)</f>
        <v>8163.1263265523321</v>
      </c>
      <c r="P15" s="213"/>
      <c r="Q15" s="230"/>
      <c r="R15" s="230"/>
      <c r="S15" s="230"/>
      <c r="T15" s="230"/>
      <c r="U15" s="230"/>
      <c r="V15" s="235"/>
    </row>
    <row r="16" spans="1:22" x14ac:dyDescent="0.25">
      <c r="A16" s="246" t="s">
        <v>46</v>
      </c>
      <c r="B16" s="232"/>
      <c r="C16" s="232"/>
      <c r="D16" s="228"/>
      <c r="E16" s="40">
        <v>0</v>
      </c>
      <c r="F16" s="57">
        <f>+F15*E16</f>
        <v>0</v>
      </c>
      <c r="P16" s="213"/>
      <c r="Q16" s="230"/>
      <c r="R16" s="230"/>
      <c r="S16" s="230"/>
      <c r="T16" s="230"/>
      <c r="U16" s="230"/>
      <c r="V16" s="235"/>
    </row>
    <row r="17" spans="1:22" x14ac:dyDescent="0.25">
      <c r="A17" s="290" t="s">
        <v>50</v>
      </c>
      <c r="B17" s="232"/>
      <c r="C17" s="232"/>
      <c r="D17" s="232"/>
      <c r="E17" s="228"/>
      <c r="F17" s="58">
        <f>+F15+F16</f>
        <v>8163.1263265523321</v>
      </c>
      <c r="P17" s="213"/>
      <c r="Q17" s="230"/>
      <c r="R17" s="230"/>
      <c r="S17" s="230"/>
      <c r="T17" s="230"/>
      <c r="U17" s="230"/>
      <c r="V17" s="235"/>
    </row>
    <row r="18" spans="1:22" x14ac:dyDescent="0.25">
      <c r="A18" s="246" t="s">
        <v>51</v>
      </c>
      <c r="B18" s="232"/>
      <c r="C18" s="232"/>
      <c r="D18" s="232"/>
      <c r="E18" s="228"/>
      <c r="F18" s="59">
        <f>+F17/F4</f>
        <v>8163.1263265523321</v>
      </c>
      <c r="P18" s="213"/>
      <c r="Q18" s="230"/>
      <c r="R18" s="230"/>
      <c r="S18" s="230"/>
      <c r="T18" s="230"/>
      <c r="U18" s="230"/>
      <c r="V18" s="235"/>
    </row>
    <row r="19" spans="1:22" x14ac:dyDescent="0.25">
      <c r="A19" s="290" t="s">
        <v>53</v>
      </c>
      <c r="B19" s="232"/>
      <c r="C19" s="232"/>
      <c r="D19" s="232"/>
      <c r="E19" s="228"/>
      <c r="F19" s="61">
        <v>0.35</v>
      </c>
      <c r="P19" s="213"/>
      <c r="Q19" s="230"/>
      <c r="R19" s="230"/>
      <c r="S19" s="230"/>
      <c r="T19" s="230"/>
      <c r="U19" s="230"/>
      <c r="V19" s="235"/>
    </row>
    <row r="20" spans="1:22" x14ac:dyDescent="0.25">
      <c r="A20" s="246" t="s">
        <v>54</v>
      </c>
      <c r="B20" s="232"/>
      <c r="C20" s="232"/>
      <c r="D20" s="232"/>
      <c r="E20" s="228"/>
      <c r="F20" s="57">
        <f>+F18/F19</f>
        <v>23323.218075863806</v>
      </c>
      <c r="P20" s="213"/>
      <c r="Q20" s="230"/>
      <c r="R20" s="230"/>
      <c r="S20" s="230"/>
      <c r="T20" s="230"/>
      <c r="U20" s="230"/>
      <c r="V20" s="235"/>
    </row>
    <row r="21" spans="1:22" x14ac:dyDescent="0.25">
      <c r="A21" s="290" t="s">
        <v>55</v>
      </c>
      <c r="B21" s="232"/>
      <c r="C21" s="232"/>
      <c r="D21" s="232"/>
      <c r="E21" s="228"/>
      <c r="F21" s="56">
        <f>ROUNDUP(F20,-2)</f>
        <v>23400</v>
      </c>
      <c r="P21" s="213"/>
      <c r="Q21" s="230"/>
      <c r="R21" s="230"/>
      <c r="S21" s="230"/>
      <c r="T21" s="230"/>
      <c r="U21" s="230"/>
      <c r="V21" s="235"/>
    </row>
    <row r="22" spans="1:22" x14ac:dyDescent="0.25">
      <c r="A22" s="293" t="s">
        <v>56</v>
      </c>
      <c r="B22" s="232"/>
      <c r="C22" s="232"/>
      <c r="D22" s="232"/>
      <c r="E22" s="228"/>
      <c r="F22" s="65">
        <f>+F18/F21</f>
        <v>0.34885155241676635</v>
      </c>
      <c r="P22" s="215"/>
      <c r="Q22" s="288"/>
      <c r="R22" s="288"/>
      <c r="S22" s="288"/>
      <c r="T22" s="288"/>
      <c r="U22" s="288"/>
      <c r="V22" s="226"/>
    </row>
    <row r="23" spans="1:22" ht="15.75" customHeight="1" x14ac:dyDescent="0.25">
      <c r="A23" s="290" t="s">
        <v>57</v>
      </c>
      <c r="B23" s="232"/>
      <c r="C23" s="232"/>
      <c r="D23" s="228"/>
      <c r="E23" s="66">
        <v>0.08</v>
      </c>
      <c r="F23" s="58">
        <f>+F21*E23</f>
        <v>1872</v>
      </c>
    </row>
    <row r="24" spans="1:22" ht="15.75" customHeight="1" x14ac:dyDescent="0.25">
      <c r="A24" s="246" t="s">
        <v>58</v>
      </c>
      <c r="B24" s="232"/>
      <c r="C24" s="232"/>
      <c r="D24" s="232"/>
      <c r="E24" s="228"/>
      <c r="F24" s="67">
        <f>+F21+F23</f>
        <v>25272</v>
      </c>
    </row>
    <row r="25" spans="1:22" ht="15.75" customHeight="1" x14ac:dyDescent="0.25"/>
    <row r="26" spans="1:22" ht="15.75" customHeight="1" thickBot="1" x14ac:dyDescent="0.3"/>
    <row r="27" spans="1:22" ht="21" customHeight="1" thickBot="1" x14ac:dyDescent="0.3">
      <c r="A27" s="252" t="s">
        <v>132</v>
      </c>
      <c r="B27" s="264"/>
      <c r="C27" s="264"/>
      <c r="D27" s="264"/>
      <c r="E27" s="264"/>
      <c r="F27" s="265"/>
      <c r="P27" s="307" t="s">
        <v>33</v>
      </c>
      <c r="Q27" s="232"/>
      <c r="R27" s="232"/>
      <c r="S27" s="232"/>
      <c r="T27" s="232"/>
      <c r="U27" s="232"/>
      <c r="V27" s="228"/>
    </row>
    <row r="28" spans="1:22" x14ac:dyDescent="0.25">
      <c r="A28" s="261" t="s">
        <v>178</v>
      </c>
      <c r="B28" s="262"/>
      <c r="C28" s="262"/>
      <c r="D28" s="262"/>
      <c r="E28" s="262"/>
      <c r="F28" s="263"/>
      <c r="P28" s="308"/>
      <c r="Q28" s="287"/>
      <c r="R28" s="287"/>
      <c r="S28" s="287"/>
      <c r="T28" s="287"/>
      <c r="U28" s="287"/>
      <c r="V28" s="225"/>
    </row>
    <row r="29" spans="1:22" x14ac:dyDescent="0.25">
      <c r="A29" s="286" t="s">
        <v>59</v>
      </c>
      <c r="B29" s="287"/>
      <c r="C29" s="287"/>
      <c r="D29" s="225"/>
      <c r="E29" s="26" t="s">
        <v>49</v>
      </c>
      <c r="F29" s="27">
        <v>1</v>
      </c>
      <c r="P29" s="213"/>
      <c r="Q29" s="230"/>
      <c r="R29" s="230"/>
      <c r="S29" s="230"/>
      <c r="T29" s="230"/>
      <c r="U29" s="230"/>
      <c r="V29" s="235"/>
    </row>
    <row r="30" spans="1:22" x14ac:dyDescent="0.25">
      <c r="A30" s="215"/>
      <c r="B30" s="288"/>
      <c r="C30" s="288"/>
      <c r="D30" s="226"/>
      <c r="E30" s="28" t="s">
        <v>37</v>
      </c>
      <c r="F30" s="29">
        <v>1</v>
      </c>
      <c r="P30" s="213"/>
      <c r="Q30" s="230"/>
      <c r="R30" s="230"/>
      <c r="S30" s="230"/>
      <c r="T30" s="230"/>
      <c r="U30" s="230"/>
      <c r="V30" s="235"/>
    </row>
    <row r="31" spans="1:22" x14ac:dyDescent="0.25">
      <c r="A31" s="43" t="s">
        <v>38</v>
      </c>
      <c r="B31" s="43" t="s">
        <v>39</v>
      </c>
      <c r="C31" s="43" t="s">
        <v>40</v>
      </c>
      <c r="D31" s="44" t="s">
        <v>41</v>
      </c>
      <c r="E31" s="45" t="s">
        <v>42</v>
      </c>
      <c r="F31" s="46" t="s">
        <v>43</v>
      </c>
      <c r="P31" s="213"/>
      <c r="Q31" s="230"/>
      <c r="R31" s="230"/>
      <c r="S31" s="230"/>
      <c r="T31" s="230"/>
      <c r="U31" s="230"/>
      <c r="V31" s="235"/>
    </row>
    <row r="32" spans="1:22" x14ac:dyDescent="0.25">
      <c r="A32" s="47"/>
      <c r="B32" s="48" t="s">
        <v>320</v>
      </c>
      <c r="C32" s="74" t="s">
        <v>9</v>
      </c>
      <c r="D32" s="50">
        <v>100</v>
      </c>
      <c r="E32" s="51">
        <f>+'LISTA MAESTRA'!D56</f>
        <v>5.9</v>
      </c>
      <c r="F32" s="52">
        <f t="shared" ref="F32:F36" si="1">E32*D32</f>
        <v>590</v>
      </c>
      <c r="P32" s="213"/>
      <c r="Q32" s="230"/>
      <c r="R32" s="230"/>
      <c r="S32" s="230"/>
      <c r="T32" s="230"/>
      <c r="U32" s="230"/>
      <c r="V32" s="235"/>
    </row>
    <row r="33" spans="1:22" x14ac:dyDescent="0.25">
      <c r="A33" s="47"/>
      <c r="B33" s="70" t="s">
        <v>249</v>
      </c>
      <c r="C33" s="74" t="s">
        <v>9</v>
      </c>
      <c r="D33" s="50">
        <v>100</v>
      </c>
      <c r="E33" s="51">
        <f>+'LISTA MAESTRA'!D60</f>
        <v>10.6</v>
      </c>
      <c r="F33" s="52">
        <f t="shared" si="1"/>
        <v>1060</v>
      </c>
      <c r="P33" s="213"/>
      <c r="Q33" s="230"/>
      <c r="R33" s="230"/>
      <c r="S33" s="230"/>
      <c r="T33" s="230"/>
      <c r="U33" s="230"/>
      <c r="V33" s="235"/>
    </row>
    <row r="34" spans="1:22" x14ac:dyDescent="0.25">
      <c r="A34" s="47"/>
      <c r="B34" s="70" t="s">
        <v>359</v>
      </c>
      <c r="C34" s="74" t="s">
        <v>9</v>
      </c>
      <c r="D34" s="50">
        <v>100</v>
      </c>
      <c r="E34" s="51">
        <f>+'LISTA MAESTRA'!D124</f>
        <v>5.6</v>
      </c>
      <c r="F34" s="52"/>
      <c r="P34" s="213"/>
      <c r="Q34" s="230"/>
      <c r="R34" s="230"/>
      <c r="S34" s="230"/>
      <c r="T34" s="230"/>
      <c r="U34" s="230"/>
      <c r="V34" s="235"/>
    </row>
    <row r="35" spans="1:22" x14ac:dyDescent="0.25">
      <c r="A35" s="47"/>
      <c r="B35" s="70" t="s">
        <v>360</v>
      </c>
      <c r="C35" s="74" t="s">
        <v>9</v>
      </c>
      <c r="D35" s="50">
        <v>100</v>
      </c>
      <c r="E35" s="51">
        <f>+'LISTA MAESTRA'!D40</f>
        <v>29.6</v>
      </c>
      <c r="F35" s="52">
        <f t="shared" si="1"/>
        <v>2960</v>
      </c>
      <c r="P35" s="213"/>
      <c r="Q35" s="230"/>
      <c r="R35" s="230"/>
      <c r="S35" s="230"/>
      <c r="T35" s="230"/>
      <c r="U35" s="230"/>
      <c r="V35" s="235"/>
    </row>
    <row r="36" spans="1:22" x14ac:dyDescent="0.25">
      <c r="A36" s="47"/>
      <c r="B36" s="70" t="s">
        <v>361</v>
      </c>
      <c r="C36" s="74" t="s">
        <v>9</v>
      </c>
      <c r="D36" s="50">
        <v>100</v>
      </c>
      <c r="E36" s="51"/>
      <c r="F36" s="52">
        <f t="shared" si="1"/>
        <v>0</v>
      </c>
      <c r="P36" s="213"/>
      <c r="Q36" s="230"/>
      <c r="R36" s="230"/>
      <c r="S36" s="230"/>
      <c r="T36" s="230"/>
      <c r="U36" s="230"/>
      <c r="V36" s="235"/>
    </row>
    <row r="37" spans="1:22" x14ac:dyDescent="0.25">
      <c r="A37" s="53"/>
      <c r="B37" s="71"/>
      <c r="C37" s="74"/>
      <c r="D37" s="54"/>
      <c r="E37" s="52"/>
      <c r="F37" s="52"/>
      <c r="P37" s="213"/>
      <c r="Q37" s="230"/>
      <c r="R37" s="230"/>
      <c r="S37" s="230"/>
      <c r="T37" s="230"/>
      <c r="U37" s="230"/>
      <c r="V37" s="235"/>
    </row>
    <row r="38" spans="1:22" x14ac:dyDescent="0.25">
      <c r="A38" s="290" t="s">
        <v>45</v>
      </c>
      <c r="B38" s="232"/>
      <c r="C38" s="232"/>
      <c r="D38" s="232"/>
      <c r="E38" s="228"/>
      <c r="F38" s="56">
        <f>SUM(F32:F37)</f>
        <v>4610</v>
      </c>
      <c r="P38" s="213"/>
      <c r="Q38" s="230"/>
      <c r="R38" s="230"/>
      <c r="S38" s="230"/>
      <c r="T38" s="230"/>
      <c r="U38" s="230"/>
      <c r="V38" s="235"/>
    </row>
    <row r="39" spans="1:22" x14ac:dyDescent="0.25">
      <c r="A39" s="246" t="s">
        <v>46</v>
      </c>
      <c r="B39" s="232"/>
      <c r="C39" s="232"/>
      <c r="D39" s="228"/>
      <c r="E39" s="40">
        <v>0</v>
      </c>
      <c r="F39" s="57">
        <f>+F38*E39</f>
        <v>0</v>
      </c>
      <c r="P39" s="213"/>
      <c r="Q39" s="230"/>
      <c r="R39" s="230"/>
      <c r="S39" s="230"/>
      <c r="T39" s="230"/>
      <c r="U39" s="230"/>
      <c r="V39" s="235"/>
    </row>
    <row r="40" spans="1:22" x14ac:dyDescent="0.25">
      <c r="A40" s="290" t="s">
        <v>50</v>
      </c>
      <c r="B40" s="232"/>
      <c r="C40" s="232"/>
      <c r="D40" s="232"/>
      <c r="E40" s="228"/>
      <c r="F40" s="58">
        <f>+F38+F39</f>
        <v>4610</v>
      </c>
      <c r="P40" s="213"/>
      <c r="Q40" s="230"/>
      <c r="R40" s="230"/>
      <c r="S40" s="230"/>
      <c r="T40" s="230"/>
      <c r="U40" s="230"/>
      <c r="V40" s="235"/>
    </row>
    <row r="41" spans="1:22" x14ac:dyDescent="0.25">
      <c r="A41" s="246" t="s">
        <v>51</v>
      </c>
      <c r="B41" s="232"/>
      <c r="C41" s="232"/>
      <c r="D41" s="232"/>
      <c r="E41" s="228"/>
      <c r="F41" s="59">
        <f>+F40/F30</f>
        <v>4610</v>
      </c>
      <c r="P41" s="213"/>
      <c r="Q41" s="230"/>
      <c r="R41" s="230"/>
      <c r="S41" s="230"/>
      <c r="T41" s="230"/>
      <c r="U41" s="230"/>
      <c r="V41" s="235"/>
    </row>
    <row r="42" spans="1:22" x14ac:dyDescent="0.25">
      <c r="A42" s="290" t="s">
        <v>53</v>
      </c>
      <c r="B42" s="232"/>
      <c r="C42" s="232"/>
      <c r="D42" s="232"/>
      <c r="E42" s="228"/>
      <c r="F42" s="61">
        <v>0.35</v>
      </c>
      <c r="P42" s="213"/>
      <c r="Q42" s="230"/>
      <c r="R42" s="230"/>
      <c r="S42" s="230"/>
      <c r="T42" s="230"/>
      <c r="U42" s="230"/>
      <c r="V42" s="235"/>
    </row>
    <row r="43" spans="1:22" x14ac:dyDescent="0.25">
      <c r="A43" s="246" t="s">
        <v>54</v>
      </c>
      <c r="B43" s="232"/>
      <c r="C43" s="232"/>
      <c r="D43" s="232"/>
      <c r="E43" s="228"/>
      <c r="F43" s="57">
        <f>+F41/F42</f>
        <v>13171.428571428572</v>
      </c>
      <c r="P43" s="213"/>
      <c r="Q43" s="230"/>
      <c r="R43" s="230"/>
      <c r="S43" s="230"/>
      <c r="T43" s="230"/>
      <c r="U43" s="230"/>
      <c r="V43" s="235"/>
    </row>
    <row r="44" spans="1:22" x14ac:dyDescent="0.25">
      <c r="A44" s="290" t="s">
        <v>55</v>
      </c>
      <c r="B44" s="232"/>
      <c r="C44" s="232"/>
      <c r="D44" s="232"/>
      <c r="E44" s="228"/>
      <c r="F44" s="56">
        <f>ROUNDUP(F43,-2)</f>
        <v>13200</v>
      </c>
      <c r="P44" s="213"/>
      <c r="Q44" s="230"/>
      <c r="R44" s="230"/>
      <c r="S44" s="230"/>
      <c r="T44" s="230"/>
      <c r="U44" s="230"/>
      <c r="V44" s="235"/>
    </row>
    <row r="45" spans="1:22" x14ac:dyDescent="0.25">
      <c r="A45" s="293" t="s">
        <v>56</v>
      </c>
      <c r="B45" s="232"/>
      <c r="C45" s="232"/>
      <c r="D45" s="232"/>
      <c r="E45" s="228"/>
      <c r="F45" s="65">
        <f>+F41/F44</f>
        <v>0.34924242424242424</v>
      </c>
      <c r="P45" s="215"/>
      <c r="Q45" s="288"/>
      <c r="R45" s="288"/>
      <c r="S45" s="288"/>
      <c r="T45" s="288"/>
      <c r="U45" s="288"/>
      <c r="V45" s="226"/>
    </row>
    <row r="46" spans="1:22" ht="15.75" customHeight="1" x14ac:dyDescent="0.25">
      <c r="A46" s="290" t="s">
        <v>57</v>
      </c>
      <c r="B46" s="232"/>
      <c r="C46" s="232"/>
      <c r="D46" s="228"/>
      <c r="E46" s="66">
        <v>0.08</v>
      </c>
      <c r="F46" s="58">
        <f>+F44*E46</f>
        <v>1056</v>
      </c>
    </row>
    <row r="47" spans="1:22" ht="15.75" customHeight="1" x14ac:dyDescent="0.25">
      <c r="A47" s="246" t="s">
        <v>58</v>
      </c>
      <c r="B47" s="232"/>
      <c r="C47" s="232"/>
      <c r="D47" s="232"/>
      <c r="E47" s="228"/>
      <c r="F47" s="67">
        <f>+F44+F46</f>
        <v>14256</v>
      </c>
    </row>
    <row r="48" spans="1:22" ht="15.75" customHeight="1" x14ac:dyDescent="0.25"/>
    <row r="49" spans="1:22" ht="15.75" customHeight="1" thickBot="1" x14ac:dyDescent="0.3"/>
    <row r="50" spans="1:22" ht="21" customHeight="1" thickBot="1" x14ac:dyDescent="0.3">
      <c r="A50" s="252" t="s">
        <v>232</v>
      </c>
      <c r="B50" s="264"/>
      <c r="C50" s="264"/>
      <c r="D50" s="264"/>
      <c r="E50" s="264"/>
      <c r="F50" s="265"/>
      <c r="P50" s="307" t="s">
        <v>33</v>
      </c>
      <c r="Q50" s="232"/>
      <c r="R50" s="232"/>
      <c r="S50" s="232"/>
      <c r="T50" s="232"/>
      <c r="U50" s="232"/>
      <c r="V50" s="228"/>
    </row>
    <row r="51" spans="1:22" x14ac:dyDescent="0.25">
      <c r="A51" s="261" t="s">
        <v>178</v>
      </c>
      <c r="B51" s="262"/>
      <c r="C51" s="262"/>
      <c r="D51" s="262"/>
      <c r="E51" s="262"/>
      <c r="F51" s="263"/>
      <c r="P51" s="308"/>
      <c r="Q51" s="287"/>
      <c r="R51" s="287"/>
      <c r="S51" s="287"/>
      <c r="T51" s="287"/>
      <c r="U51" s="287"/>
      <c r="V51" s="225"/>
    </row>
    <row r="52" spans="1:22" x14ac:dyDescent="0.25">
      <c r="A52" s="286" t="s">
        <v>59</v>
      </c>
      <c r="B52" s="287"/>
      <c r="C52" s="287"/>
      <c r="D52" s="225"/>
      <c r="E52" s="26" t="s">
        <v>49</v>
      </c>
      <c r="F52" s="27">
        <v>3</v>
      </c>
      <c r="P52" s="213"/>
      <c r="Q52" s="230"/>
      <c r="R52" s="230"/>
      <c r="S52" s="230"/>
      <c r="T52" s="230"/>
      <c r="U52" s="230"/>
      <c r="V52" s="235"/>
    </row>
    <row r="53" spans="1:22" x14ac:dyDescent="0.25">
      <c r="A53" s="215"/>
      <c r="B53" s="288"/>
      <c r="C53" s="288"/>
      <c r="D53" s="226"/>
      <c r="E53" s="28" t="s">
        <v>37</v>
      </c>
      <c r="F53" s="29">
        <v>1</v>
      </c>
      <c r="P53" s="213"/>
      <c r="Q53" s="230"/>
      <c r="R53" s="230"/>
      <c r="S53" s="230"/>
      <c r="T53" s="230"/>
      <c r="U53" s="230"/>
      <c r="V53" s="235"/>
    </row>
    <row r="54" spans="1:22" x14ac:dyDescent="0.25">
      <c r="A54" s="43" t="s">
        <v>38</v>
      </c>
      <c r="B54" s="43" t="s">
        <v>39</v>
      </c>
      <c r="C54" s="43" t="s">
        <v>40</v>
      </c>
      <c r="D54" s="44" t="s">
        <v>41</v>
      </c>
      <c r="E54" s="45" t="s">
        <v>42</v>
      </c>
      <c r="F54" s="46" t="s">
        <v>43</v>
      </c>
      <c r="P54" s="213"/>
      <c r="Q54" s="230"/>
      <c r="R54" s="230"/>
      <c r="S54" s="230"/>
      <c r="T54" s="230"/>
      <c r="U54" s="230"/>
      <c r="V54" s="235"/>
    </row>
    <row r="55" spans="1:22" x14ac:dyDescent="0.25">
      <c r="A55" s="47"/>
      <c r="B55" s="70" t="s">
        <v>164</v>
      </c>
      <c r="C55" s="74" t="s">
        <v>9</v>
      </c>
      <c r="D55" s="50">
        <v>200</v>
      </c>
      <c r="E55" s="78">
        <f>+'LISTA MAESTRA'!D30</f>
        <v>23.4</v>
      </c>
      <c r="F55" s="52">
        <f>+E55*D55</f>
        <v>4680</v>
      </c>
      <c r="P55" s="213"/>
      <c r="Q55" s="230"/>
      <c r="R55" s="230"/>
      <c r="S55" s="230"/>
      <c r="T55" s="230"/>
      <c r="U55" s="230"/>
      <c r="V55" s="235"/>
    </row>
    <row r="56" spans="1:22" x14ac:dyDescent="0.25">
      <c r="A56" s="47"/>
      <c r="B56" s="70" t="s">
        <v>230</v>
      </c>
      <c r="C56" s="74" t="s">
        <v>179</v>
      </c>
      <c r="D56" s="50">
        <v>1</v>
      </c>
      <c r="E56" s="78">
        <f>+'RECETA BASE'!F142</f>
        <v>2184.0239999999999</v>
      </c>
      <c r="F56" s="52">
        <f t="shared" ref="F56:F58" si="2">+E56*D56</f>
        <v>2184.0239999999999</v>
      </c>
      <c r="P56" s="213"/>
      <c r="Q56" s="230"/>
      <c r="R56" s="230"/>
      <c r="S56" s="230"/>
      <c r="T56" s="230"/>
      <c r="U56" s="230"/>
      <c r="V56" s="235"/>
    </row>
    <row r="57" spans="1:22" x14ac:dyDescent="0.25">
      <c r="A57" s="47"/>
      <c r="B57" s="70" t="s">
        <v>426</v>
      </c>
      <c r="C57" s="74" t="s">
        <v>9</v>
      </c>
      <c r="D57" s="50">
        <v>80</v>
      </c>
      <c r="E57" s="78">
        <f>+'LISTA MAESTRA'!D94</f>
        <v>33.799999999999997</v>
      </c>
      <c r="F57" s="52">
        <f t="shared" si="2"/>
        <v>2704</v>
      </c>
      <c r="P57" s="213"/>
      <c r="Q57" s="230"/>
      <c r="R57" s="230"/>
      <c r="S57" s="230"/>
      <c r="T57" s="230"/>
      <c r="U57" s="230"/>
      <c r="V57" s="235"/>
    </row>
    <row r="58" spans="1:22" x14ac:dyDescent="0.25">
      <c r="A58" s="47"/>
      <c r="B58" s="70" t="s">
        <v>303</v>
      </c>
      <c r="C58" s="74" t="s">
        <v>179</v>
      </c>
      <c r="D58" s="50">
        <v>1</v>
      </c>
      <c r="E58" s="78">
        <f>+'RECETA BASE'!F314</f>
        <v>558.18412992357435</v>
      </c>
      <c r="F58" s="52">
        <f t="shared" si="2"/>
        <v>558.18412992357435</v>
      </c>
      <c r="P58" s="213"/>
      <c r="Q58" s="230"/>
      <c r="R58" s="230"/>
      <c r="S58" s="230"/>
      <c r="T58" s="230"/>
      <c r="U58" s="230"/>
      <c r="V58" s="235"/>
    </row>
    <row r="59" spans="1:22" x14ac:dyDescent="0.25">
      <c r="A59" s="55"/>
      <c r="B59" s="48"/>
      <c r="C59" s="49"/>
      <c r="D59" s="50"/>
      <c r="E59" s="50"/>
      <c r="F59" s="52"/>
      <c r="P59" s="213"/>
      <c r="Q59" s="230"/>
      <c r="R59" s="230"/>
      <c r="S59" s="230"/>
      <c r="T59" s="230"/>
      <c r="U59" s="230"/>
      <c r="V59" s="235"/>
    </row>
    <row r="60" spans="1:22" x14ac:dyDescent="0.25">
      <c r="A60" s="290" t="s">
        <v>45</v>
      </c>
      <c r="B60" s="232"/>
      <c r="C60" s="232"/>
      <c r="D60" s="232"/>
      <c r="E60" s="228"/>
      <c r="F60" s="56">
        <f>SUM(F55:F59)</f>
        <v>10126.208129923574</v>
      </c>
      <c r="P60" s="213"/>
      <c r="Q60" s="230"/>
      <c r="R60" s="230"/>
      <c r="S60" s="230"/>
      <c r="T60" s="230"/>
      <c r="U60" s="230"/>
      <c r="V60" s="235"/>
    </row>
    <row r="61" spans="1:22" x14ac:dyDescent="0.25">
      <c r="A61" s="246" t="s">
        <v>46</v>
      </c>
      <c r="B61" s="232"/>
      <c r="C61" s="232"/>
      <c r="D61" s="228"/>
      <c r="E61" s="40">
        <v>0</v>
      </c>
      <c r="F61" s="57">
        <f>+F60*E61</f>
        <v>0</v>
      </c>
      <c r="P61" s="309"/>
      <c r="Q61" s="230"/>
      <c r="R61" s="230"/>
      <c r="S61" s="230"/>
      <c r="T61" s="230"/>
      <c r="U61" s="230"/>
      <c r="V61" s="235"/>
    </row>
    <row r="62" spans="1:22" x14ac:dyDescent="0.25">
      <c r="A62" s="290" t="s">
        <v>50</v>
      </c>
      <c r="B62" s="232"/>
      <c r="C62" s="232"/>
      <c r="D62" s="232"/>
      <c r="E62" s="228"/>
      <c r="F62" s="58">
        <f>+F60+F61</f>
        <v>10126.208129923574</v>
      </c>
      <c r="P62" s="309"/>
      <c r="Q62" s="230"/>
      <c r="R62" s="230"/>
      <c r="S62" s="230"/>
      <c r="T62" s="230"/>
      <c r="U62" s="230"/>
      <c r="V62" s="235"/>
    </row>
    <row r="63" spans="1:22" x14ac:dyDescent="0.25">
      <c r="A63" s="246" t="s">
        <v>51</v>
      </c>
      <c r="B63" s="232"/>
      <c r="C63" s="232"/>
      <c r="D63" s="232"/>
      <c r="E63" s="228"/>
      <c r="F63" s="59">
        <f>+F62/F53</f>
        <v>10126.208129923574</v>
      </c>
      <c r="P63" s="213"/>
      <c r="Q63" s="230"/>
      <c r="R63" s="230"/>
      <c r="S63" s="230"/>
      <c r="T63" s="230"/>
      <c r="U63" s="230"/>
      <c r="V63" s="235"/>
    </row>
    <row r="64" spans="1:22" x14ac:dyDescent="0.25">
      <c r="A64" s="290" t="s">
        <v>53</v>
      </c>
      <c r="B64" s="232"/>
      <c r="C64" s="232"/>
      <c r="D64" s="232"/>
      <c r="E64" s="228"/>
      <c r="F64" s="61">
        <v>0.35</v>
      </c>
      <c r="P64" s="213"/>
      <c r="Q64" s="230"/>
      <c r="R64" s="230"/>
      <c r="S64" s="230"/>
      <c r="T64" s="230"/>
      <c r="U64" s="230"/>
      <c r="V64" s="235"/>
    </row>
    <row r="65" spans="1:22" x14ac:dyDescent="0.25">
      <c r="A65" s="246" t="s">
        <v>54</v>
      </c>
      <c r="B65" s="232"/>
      <c r="C65" s="232"/>
      <c r="D65" s="232"/>
      <c r="E65" s="228"/>
      <c r="F65" s="57">
        <f>+F63/F64</f>
        <v>28932.023228353071</v>
      </c>
      <c r="P65" s="213"/>
      <c r="Q65" s="230"/>
      <c r="R65" s="230"/>
      <c r="S65" s="230"/>
      <c r="T65" s="230"/>
      <c r="U65" s="230"/>
      <c r="V65" s="235"/>
    </row>
    <row r="66" spans="1:22" x14ac:dyDescent="0.25">
      <c r="A66" s="290" t="s">
        <v>55</v>
      </c>
      <c r="B66" s="232"/>
      <c r="C66" s="232"/>
      <c r="D66" s="232"/>
      <c r="E66" s="228"/>
      <c r="F66" s="56">
        <f>ROUNDUP(F65,-2)</f>
        <v>29000</v>
      </c>
      <c r="P66" s="213"/>
      <c r="Q66" s="230"/>
      <c r="R66" s="230"/>
      <c r="S66" s="230"/>
      <c r="T66" s="230"/>
      <c r="U66" s="230"/>
      <c r="V66" s="235"/>
    </row>
    <row r="67" spans="1:22" x14ac:dyDescent="0.25">
      <c r="A67" s="293" t="s">
        <v>56</v>
      </c>
      <c r="B67" s="232"/>
      <c r="C67" s="232"/>
      <c r="D67" s="232"/>
      <c r="E67" s="228"/>
      <c r="F67" s="65">
        <f>+F63/F66</f>
        <v>0.34917959068701981</v>
      </c>
      <c r="P67" s="213"/>
      <c r="Q67" s="230"/>
      <c r="R67" s="230"/>
      <c r="S67" s="230"/>
      <c r="T67" s="230"/>
      <c r="U67" s="230"/>
      <c r="V67" s="235"/>
    </row>
    <row r="68" spans="1:22" x14ac:dyDescent="0.25">
      <c r="A68" s="290" t="s">
        <v>57</v>
      </c>
      <c r="B68" s="232"/>
      <c r="C68" s="232"/>
      <c r="D68" s="228"/>
      <c r="E68" s="66">
        <v>0.08</v>
      </c>
      <c r="F68" s="58">
        <f>+F66*E68</f>
        <v>2320</v>
      </c>
      <c r="P68" s="213"/>
      <c r="Q68" s="230"/>
      <c r="R68" s="230"/>
      <c r="S68" s="230"/>
      <c r="T68" s="230"/>
      <c r="U68" s="230"/>
      <c r="V68" s="235"/>
    </row>
    <row r="69" spans="1:22" x14ac:dyDescent="0.25">
      <c r="A69" s="246" t="s">
        <v>58</v>
      </c>
      <c r="B69" s="232"/>
      <c r="C69" s="232"/>
      <c r="D69" s="232"/>
      <c r="E69" s="228"/>
      <c r="F69" s="67">
        <f>+F66+F68</f>
        <v>31320</v>
      </c>
      <c r="P69" s="213"/>
      <c r="Q69" s="230"/>
      <c r="R69" s="230"/>
      <c r="S69" s="230"/>
      <c r="T69" s="230"/>
      <c r="U69" s="230"/>
      <c r="V69" s="235"/>
    </row>
    <row r="70" spans="1:22" x14ac:dyDescent="0.25">
      <c r="P70" s="213"/>
      <c r="Q70" s="230"/>
      <c r="R70" s="230"/>
      <c r="S70" s="230"/>
      <c r="T70" s="230"/>
      <c r="U70" s="230"/>
      <c r="V70" s="235"/>
    </row>
    <row r="71" spans="1:22" ht="15.75" customHeight="1" x14ac:dyDescent="0.25"/>
    <row r="72" spans="1:22" ht="15.75" customHeight="1" x14ac:dyDescent="0.25"/>
    <row r="73" spans="1:22" ht="15.75" customHeight="1" x14ac:dyDescent="0.25"/>
    <row r="74" spans="1:22" ht="15.75" customHeight="1" x14ac:dyDescent="0.25"/>
    <row r="75" spans="1:22" ht="15.75" customHeight="1" x14ac:dyDescent="0.25"/>
    <row r="76" spans="1:22" ht="15.75" customHeight="1" x14ac:dyDescent="0.25"/>
    <row r="77" spans="1:22" ht="15.75" customHeight="1" x14ac:dyDescent="0.25"/>
    <row r="78" spans="1:22" ht="15.75" customHeight="1" x14ac:dyDescent="0.25"/>
    <row r="79" spans="1:22" ht="15.75" customHeight="1" x14ac:dyDescent="0.25"/>
    <row r="80" spans="1:22"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sheetData>
  <mergeCells count="45">
    <mergeCell ref="P1:V1"/>
    <mergeCell ref="A2:F2"/>
    <mergeCell ref="P2:V22"/>
    <mergeCell ref="A3:D4"/>
    <mergeCell ref="A1:F1"/>
    <mergeCell ref="A21:E21"/>
    <mergeCell ref="A22:E22"/>
    <mergeCell ref="A23:D23"/>
    <mergeCell ref="A24:E24"/>
    <mergeCell ref="A27:F27"/>
    <mergeCell ref="A15:E15"/>
    <mergeCell ref="A16:D16"/>
    <mergeCell ref="A17:E17"/>
    <mergeCell ref="A18:E18"/>
    <mergeCell ref="A19:E19"/>
    <mergeCell ref="A20:E20"/>
    <mergeCell ref="P27:V27"/>
    <mergeCell ref="A28:F28"/>
    <mergeCell ref="P28:V45"/>
    <mergeCell ref="A29:D30"/>
    <mergeCell ref="A44:E44"/>
    <mergeCell ref="A45:E45"/>
    <mergeCell ref="A46:D46"/>
    <mergeCell ref="A47:E47"/>
    <mergeCell ref="A50:F50"/>
    <mergeCell ref="A38:E38"/>
    <mergeCell ref="A39:D39"/>
    <mergeCell ref="A40:E40"/>
    <mergeCell ref="A41:E41"/>
    <mergeCell ref="A42:E42"/>
    <mergeCell ref="A43:E43"/>
    <mergeCell ref="P50:V50"/>
    <mergeCell ref="A51:F51"/>
    <mergeCell ref="P51:V70"/>
    <mergeCell ref="A52:D53"/>
    <mergeCell ref="A66:E66"/>
    <mergeCell ref="A67:E67"/>
    <mergeCell ref="A68:D68"/>
    <mergeCell ref="A69:E69"/>
    <mergeCell ref="A60:E60"/>
    <mergeCell ref="A61:D61"/>
    <mergeCell ref="A62:E62"/>
    <mergeCell ref="A63:E63"/>
    <mergeCell ref="A64:E64"/>
    <mergeCell ref="A65:E65"/>
  </mergeCells>
  <hyperlinks>
    <hyperlink ref="H2" location="'LISTA MAESTRA'!A1" display="LISTA MAESTRA" xr:uid="{BBF720AF-2365-4FA8-BFA1-A6740AE462F4}"/>
    <hyperlink ref="I2" location="'RECETA BASE'!A1" display="'RECETA BASE'" xr:uid="{8C928FF7-DF44-440F-886A-8AFF89CCEFBB}"/>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45FA0-FDF4-4EA2-8C54-1CD01207E531}">
  <dimension ref="B2:K21"/>
  <sheetViews>
    <sheetView topLeftCell="A2" workbookViewId="0">
      <selection activeCell="G7" sqref="G7"/>
    </sheetView>
  </sheetViews>
  <sheetFormatPr baseColWidth="10" defaultRowHeight="15" x14ac:dyDescent="0.25"/>
  <cols>
    <col min="2" max="2" width="21.28515625" bestFit="1" customWidth="1"/>
    <col min="3" max="3" width="25.28515625" customWidth="1"/>
    <col min="4" max="4" width="11.85546875" bestFit="1" customWidth="1"/>
    <col min="6" max="6" width="32.42578125" bestFit="1" customWidth="1"/>
    <col min="7" max="7" width="15.5703125" style="91" bestFit="1" customWidth="1"/>
    <col min="9" max="9" width="20.5703125" customWidth="1"/>
    <col min="10" max="10" width="14.5703125" bestFit="1" customWidth="1"/>
  </cols>
  <sheetData>
    <row r="2" spans="2:11" x14ac:dyDescent="0.25">
      <c r="B2" s="311" t="s">
        <v>135</v>
      </c>
      <c r="C2" s="312"/>
      <c r="I2" s="84"/>
      <c r="J2" s="83" t="s">
        <v>69</v>
      </c>
    </row>
    <row r="3" spans="2:11" x14ac:dyDescent="0.25">
      <c r="B3" s="313" t="s">
        <v>66</v>
      </c>
      <c r="C3" s="313"/>
      <c r="D3" s="88" t="s">
        <v>67</v>
      </c>
      <c r="F3" s="83" t="s">
        <v>76</v>
      </c>
      <c r="G3" s="95" t="s">
        <v>77</v>
      </c>
      <c r="I3" s="323" t="s">
        <v>432</v>
      </c>
      <c r="J3" s="86">
        <v>550000</v>
      </c>
      <c r="K3" t="s">
        <v>144</v>
      </c>
    </row>
    <row r="4" spans="2:11" x14ac:dyDescent="0.25">
      <c r="B4" s="310" t="s">
        <v>63</v>
      </c>
      <c r="C4" s="310"/>
      <c r="F4" s="83" t="s">
        <v>64</v>
      </c>
      <c r="G4" s="96">
        <f>+C5/C19</f>
        <v>0.38181819917355453</v>
      </c>
      <c r="I4" s="113" t="s">
        <v>136</v>
      </c>
      <c r="J4" s="86">
        <v>540000</v>
      </c>
    </row>
    <row r="5" spans="2:11" x14ac:dyDescent="0.25">
      <c r="B5" s="81" t="s">
        <v>64</v>
      </c>
      <c r="C5" s="89">
        <v>1200000</v>
      </c>
      <c r="F5" s="83" t="s">
        <v>65</v>
      </c>
      <c r="G5" s="96">
        <f>+C6/C19</f>
        <v>0.73500003340909248</v>
      </c>
      <c r="I5" s="113" t="s">
        <v>137</v>
      </c>
      <c r="J5" s="86">
        <v>220000</v>
      </c>
    </row>
    <row r="6" spans="2:11" x14ac:dyDescent="0.25">
      <c r="B6" s="81" t="s">
        <v>65</v>
      </c>
      <c r="C6" s="89">
        <f>+J10</f>
        <v>2310000</v>
      </c>
      <c r="F6" s="83" t="s">
        <v>79</v>
      </c>
      <c r="G6" s="96">
        <f>+SUM(C7+C10+C11+C12)/C19</f>
        <v>0.21954546452479384</v>
      </c>
      <c r="I6" s="113" t="s">
        <v>138</v>
      </c>
      <c r="J6" s="86">
        <v>200000</v>
      </c>
    </row>
    <row r="7" spans="2:11" x14ac:dyDescent="0.25">
      <c r="B7" s="81" t="s">
        <v>68</v>
      </c>
      <c r="C7" s="89"/>
      <c r="F7" s="83" t="s">
        <v>80</v>
      </c>
      <c r="G7" s="322">
        <v>0.4</v>
      </c>
      <c r="I7" s="117" t="s">
        <v>139</v>
      </c>
      <c r="J7" s="116">
        <v>400000</v>
      </c>
    </row>
    <row r="8" spans="2:11" x14ac:dyDescent="0.25">
      <c r="B8" s="82"/>
      <c r="C8" s="89"/>
      <c r="F8" s="83" t="s">
        <v>83</v>
      </c>
      <c r="G8" s="96">
        <f>+C21/C19</f>
        <v>-0.97272736239669833</v>
      </c>
      <c r="I8" s="115" t="s">
        <v>140</v>
      </c>
      <c r="J8" s="116">
        <v>200000</v>
      </c>
    </row>
    <row r="9" spans="2:11" x14ac:dyDescent="0.25">
      <c r="B9" s="310" t="s">
        <v>70</v>
      </c>
      <c r="C9" s="310"/>
      <c r="F9" s="84"/>
      <c r="G9" s="95">
        <f>SUM(G4:G8)</f>
        <v>0.76363633471074266</v>
      </c>
      <c r="I9" s="115" t="s">
        <v>141</v>
      </c>
      <c r="J9" s="114">
        <v>200000</v>
      </c>
    </row>
    <row r="10" spans="2:11" x14ac:dyDescent="0.25">
      <c r="B10" s="81" t="s">
        <v>71</v>
      </c>
      <c r="C10" s="89">
        <v>500000</v>
      </c>
      <c r="I10" s="115"/>
      <c r="J10" s="114">
        <f>SUM(J3:J9)</f>
        <v>2310000</v>
      </c>
    </row>
    <row r="11" spans="2:11" x14ac:dyDescent="0.25">
      <c r="B11" s="81" t="s">
        <v>61</v>
      </c>
      <c r="C11" s="89"/>
      <c r="I11" s="85"/>
      <c r="J11" s="85"/>
    </row>
    <row r="12" spans="2:11" x14ac:dyDescent="0.25">
      <c r="B12" s="81" t="s">
        <v>72</v>
      </c>
      <c r="C12" s="89">
        <v>190000</v>
      </c>
      <c r="I12" s="83" t="s">
        <v>73</v>
      </c>
      <c r="J12" s="86"/>
    </row>
    <row r="13" spans="2:11" x14ac:dyDescent="0.25">
      <c r="B13" s="81" t="s">
        <v>80</v>
      </c>
      <c r="C13" s="89">
        <v>2000000</v>
      </c>
      <c r="F13" s="83" t="s">
        <v>82</v>
      </c>
      <c r="G13" s="93">
        <f>+C17</f>
        <v>6200000</v>
      </c>
      <c r="I13" s="83" t="s">
        <v>74</v>
      </c>
      <c r="J13" s="84"/>
    </row>
    <row r="14" spans="2:11" x14ac:dyDescent="0.25">
      <c r="B14" s="142" t="s">
        <v>396</v>
      </c>
      <c r="C14" s="89"/>
      <c r="F14" s="83"/>
      <c r="G14" s="86"/>
      <c r="I14" s="80" t="s">
        <v>75</v>
      </c>
      <c r="J14" s="87" t="e">
        <f>+J12/J13</f>
        <v>#DIV/0!</v>
      </c>
    </row>
    <row r="15" spans="2:11" x14ac:dyDescent="0.25">
      <c r="B15" s="310" t="s">
        <v>84</v>
      </c>
      <c r="C15" s="310"/>
    </row>
    <row r="16" spans="2:11" x14ac:dyDescent="0.25">
      <c r="B16" s="92"/>
      <c r="C16" s="92"/>
    </row>
    <row r="17" spans="2:7" ht="45" x14ac:dyDescent="0.25">
      <c r="B17" s="97" t="s">
        <v>85</v>
      </c>
      <c r="C17" s="89">
        <f>+SUM(C5+C6+C7+C10+C11+C12+C13+C16)</f>
        <v>6200000</v>
      </c>
      <c r="G17" s="94">
        <f>+G14*8</f>
        <v>0</v>
      </c>
    </row>
    <row r="18" spans="2:7" x14ac:dyDescent="0.25">
      <c r="B18" s="310" t="s">
        <v>78</v>
      </c>
      <c r="C18" s="310"/>
    </row>
    <row r="19" spans="2:7" x14ac:dyDescent="0.25">
      <c r="B19" s="82"/>
      <c r="C19" s="89">
        <v>3142857</v>
      </c>
    </row>
    <row r="20" spans="2:7" x14ac:dyDescent="0.25">
      <c r="F20" s="94">
        <f>+C13/G7</f>
        <v>5000000</v>
      </c>
    </row>
    <row r="21" spans="2:7" x14ac:dyDescent="0.25">
      <c r="B21" s="79" t="s">
        <v>81</v>
      </c>
      <c r="C21" s="90">
        <f>+C19-C17</f>
        <v>-3057143</v>
      </c>
    </row>
  </sheetData>
  <mergeCells count="6">
    <mergeCell ref="B18:C18"/>
    <mergeCell ref="B2:C2"/>
    <mergeCell ref="B4:C4"/>
    <mergeCell ref="B3:C3"/>
    <mergeCell ref="B9:C9"/>
    <mergeCell ref="B15:C1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80ED0-4190-4576-94B7-435BAEA612C7}">
  <dimension ref="B2:N27"/>
  <sheetViews>
    <sheetView workbookViewId="0">
      <selection activeCell="B2" sqref="B2:N27"/>
    </sheetView>
  </sheetViews>
  <sheetFormatPr baseColWidth="10" defaultRowHeight="15" x14ac:dyDescent="0.25"/>
  <sheetData>
    <row r="2" spans="2:14" x14ac:dyDescent="0.25">
      <c r="B2" s="314" t="s">
        <v>87</v>
      </c>
      <c r="C2" s="315"/>
      <c r="D2" s="315"/>
      <c r="E2" s="315"/>
      <c r="F2" s="315"/>
      <c r="G2" s="315"/>
      <c r="H2" s="316"/>
      <c r="I2" s="106"/>
      <c r="J2" s="106"/>
      <c r="K2" s="106"/>
      <c r="L2" s="106"/>
      <c r="M2" s="106"/>
      <c r="N2" s="106"/>
    </row>
    <row r="3" spans="2:14" ht="15" customHeight="1" x14ac:dyDescent="0.25">
      <c r="B3" s="317" t="s">
        <v>88</v>
      </c>
      <c r="C3" s="318"/>
      <c r="D3" s="318"/>
      <c r="E3" s="318"/>
      <c r="F3" s="318"/>
      <c r="G3" s="318"/>
      <c r="H3" s="318"/>
      <c r="I3" s="318"/>
      <c r="J3" s="318"/>
      <c r="K3" s="318"/>
      <c r="L3" s="318"/>
      <c r="M3" s="318"/>
      <c r="N3" s="318"/>
    </row>
    <row r="4" spans="2:14" x14ac:dyDescent="0.25">
      <c r="B4" s="318"/>
      <c r="C4" s="318"/>
      <c r="D4" s="318"/>
      <c r="E4" s="318"/>
      <c r="F4" s="318"/>
      <c r="G4" s="318"/>
      <c r="H4" s="318"/>
      <c r="I4" s="318"/>
      <c r="J4" s="318"/>
      <c r="K4" s="318"/>
      <c r="L4" s="318"/>
      <c r="M4" s="318"/>
      <c r="N4" s="318"/>
    </row>
    <row r="5" spans="2:14" x14ac:dyDescent="0.25">
      <c r="B5" s="318"/>
      <c r="C5" s="318"/>
      <c r="D5" s="318"/>
      <c r="E5" s="318"/>
      <c r="F5" s="318"/>
      <c r="G5" s="318"/>
      <c r="H5" s="318"/>
      <c r="I5" s="318"/>
      <c r="J5" s="318"/>
      <c r="K5" s="318"/>
      <c r="L5" s="318"/>
      <c r="M5" s="318"/>
      <c r="N5" s="318"/>
    </row>
    <row r="6" spans="2:14" x14ac:dyDescent="0.25">
      <c r="B6" s="318"/>
      <c r="C6" s="318"/>
      <c r="D6" s="318"/>
      <c r="E6" s="318"/>
      <c r="F6" s="318"/>
      <c r="G6" s="318"/>
      <c r="H6" s="318"/>
      <c r="I6" s="318"/>
      <c r="J6" s="318"/>
      <c r="K6" s="318"/>
      <c r="L6" s="318"/>
      <c r="M6" s="318"/>
      <c r="N6" s="318"/>
    </row>
    <row r="7" spans="2:14" x14ac:dyDescent="0.25">
      <c r="B7" s="318"/>
      <c r="C7" s="318"/>
      <c r="D7" s="318"/>
      <c r="E7" s="318"/>
      <c r="F7" s="318"/>
      <c r="G7" s="318"/>
      <c r="H7" s="318"/>
      <c r="I7" s="318"/>
      <c r="J7" s="318"/>
      <c r="K7" s="318"/>
      <c r="L7" s="318"/>
      <c r="M7" s="318"/>
      <c r="N7" s="318"/>
    </row>
    <row r="8" spans="2:14" x14ac:dyDescent="0.25">
      <c r="B8" s="318"/>
      <c r="C8" s="318"/>
      <c r="D8" s="318"/>
      <c r="E8" s="318"/>
      <c r="F8" s="318"/>
      <c r="G8" s="318"/>
      <c r="H8" s="318"/>
      <c r="I8" s="318"/>
      <c r="J8" s="318"/>
      <c r="K8" s="318"/>
      <c r="L8" s="318"/>
      <c r="M8" s="318"/>
      <c r="N8" s="318"/>
    </row>
    <row r="9" spans="2:14" x14ac:dyDescent="0.25">
      <c r="B9" s="318"/>
      <c r="C9" s="318"/>
      <c r="D9" s="318"/>
      <c r="E9" s="318"/>
      <c r="F9" s="318"/>
      <c r="G9" s="318"/>
      <c r="H9" s="318"/>
      <c r="I9" s="318"/>
      <c r="J9" s="318"/>
      <c r="K9" s="318"/>
      <c r="L9" s="318"/>
      <c r="M9" s="318"/>
      <c r="N9" s="318"/>
    </row>
    <row r="10" spans="2:14" x14ac:dyDescent="0.25">
      <c r="B10" s="318"/>
      <c r="C10" s="318"/>
      <c r="D10" s="318"/>
      <c r="E10" s="318"/>
      <c r="F10" s="318"/>
      <c r="G10" s="318"/>
      <c r="H10" s="318"/>
      <c r="I10" s="318"/>
      <c r="J10" s="318"/>
      <c r="K10" s="318"/>
      <c r="L10" s="318"/>
      <c r="M10" s="318"/>
      <c r="N10" s="318"/>
    </row>
    <row r="11" spans="2:14" x14ac:dyDescent="0.25">
      <c r="B11" s="318"/>
      <c r="C11" s="318"/>
      <c r="D11" s="318"/>
      <c r="E11" s="318"/>
      <c r="F11" s="318"/>
      <c r="G11" s="318"/>
      <c r="H11" s="318"/>
      <c r="I11" s="318"/>
      <c r="J11" s="318"/>
      <c r="K11" s="318"/>
      <c r="L11" s="318"/>
      <c r="M11" s="318"/>
      <c r="N11" s="318"/>
    </row>
    <row r="12" spans="2:14" x14ac:dyDescent="0.25">
      <c r="B12" s="318"/>
      <c r="C12" s="318"/>
      <c r="D12" s="318"/>
      <c r="E12" s="318"/>
      <c r="F12" s="318"/>
      <c r="G12" s="318"/>
      <c r="H12" s="318"/>
      <c r="I12" s="318"/>
      <c r="J12" s="318"/>
      <c r="K12" s="318"/>
      <c r="L12" s="318"/>
      <c r="M12" s="318"/>
      <c r="N12" s="318"/>
    </row>
    <row r="13" spans="2:14" x14ac:dyDescent="0.25">
      <c r="B13" s="318"/>
      <c r="C13" s="318"/>
      <c r="D13" s="318"/>
      <c r="E13" s="318"/>
      <c r="F13" s="318"/>
      <c r="G13" s="318"/>
      <c r="H13" s="318"/>
      <c r="I13" s="318"/>
      <c r="J13" s="318"/>
      <c r="K13" s="318"/>
      <c r="L13" s="318"/>
      <c r="M13" s="318"/>
      <c r="N13" s="318"/>
    </row>
    <row r="14" spans="2:14" x14ac:dyDescent="0.25">
      <c r="B14" s="318"/>
      <c r="C14" s="318"/>
      <c r="D14" s="318"/>
      <c r="E14" s="318"/>
      <c r="F14" s="318"/>
      <c r="G14" s="318"/>
      <c r="H14" s="318"/>
      <c r="I14" s="318"/>
      <c r="J14" s="318"/>
      <c r="K14" s="318"/>
      <c r="L14" s="318"/>
      <c r="M14" s="318"/>
      <c r="N14" s="318"/>
    </row>
    <row r="15" spans="2:14" x14ac:dyDescent="0.25">
      <c r="B15" s="318"/>
      <c r="C15" s="318"/>
      <c r="D15" s="318"/>
      <c r="E15" s="318"/>
      <c r="F15" s="318"/>
      <c r="G15" s="318"/>
      <c r="H15" s="318"/>
      <c r="I15" s="318"/>
      <c r="J15" s="318"/>
      <c r="K15" s="318"/>
      <c r="L15" s="318"/>
      <c r="M15" s="318"/>
      <c r="N15" s="318"/>
    </row>
    <row r="16" spans="2:14" x14ac:dyDescent="0.25">
      <c r="B16" s="318"/>
      <c r="C16" s="318"/>
      <c r="D16" s="318"/>
      <c r="E16" s="318"/>
      <c r="F16" s="318"/>
      <c r="G16" s="318"/>
      <c r="H16" s="318"/>
      <c r="I16" s="318"/>
      <c r="J16" s="318"/>
      <c r="K16" s="318"/>
      <c r="L16" s="318"/>
      <c r="M16" s="318"/>
      <c r="N16" s="318"/>
    </row>
    <row r="17" spans="2:14" x14ac:dyDescent="0.25">
      <c r="B17" s="318"/>
      <c r="C17" s="318"/>
      <c r="D17" s="318"/>
      <c r="E17" s="318"/>
      <c r="F17" s="318"/>
      <c r="G17" s="318"/>
      <c r="H17" s="318"/>
      <c r="I17" s="318"/>
      <c r="J17" s="318"/>
      <c r="K17" s="318"/>
      <c r="L17" s="318"/>
      <c r="M17" s="318"/>
      <c r="N17" s="318"/>
    </row>
    <row r="18" spans="2:14" x14ac:dyDescent="0.25">
      <c r="B18" s="318"/>
      <c r="C18" s="318"/>
      <c r="D18" s="318"/>
      <c r="E18" s="318"/>
      <c r="F18" s="318"/>
      <c r="G18" s="318"/>
      <c r="H18" s="318"/>
      <c r="I18" s="318"/>
      <c r="J18" s="318"/>
      <c r="K18" s="318"/>
      <c r="L18" s="318"/>
      <c r="M18" s="318"/>
      <c r="N18" s="318"/>
    </row>
    <row r="19" spans="2:14" x14ac:dyDescent="0.25">
      <c r="B19" s="318"/>
      <c r="C19" s="318"/>
      <c r="D19" s="318"/>
      <c r="E19" s="318"/>
      <c r="F19" s="318"/>
      <c r="G19" s="318"/>
      <c r="H19" s="318"/>
      <c r="I19" s="318"/>
      <c r="J19" s="318"/>
      <c r="K19" s="318"/>
      <c r="L19" s="318"/>
      <c r="M19" s="318"/>
      <c r="N19" s="318"/>
    </row>
    <row r="20" spans="2:14" x14ac:dyDescent="0.25">
      <c r="B20" s="318"/>
      <c r="C20" s="318"/>
      <c r="D20" s="318"/>
      <c r="E20" s="318"/>
      <c r="F20" s="318"/>
      <c r="G20" s="318"/>
      <c r="H20" s="318"/>
      <c r="I20" s="318"/>
      <c r="J20" s="318"/>
      <c r="K20" s="318"/>
      <c r="L20" s="318"/>
      <c r="M20" s="318"/>
      <c r="N20" s="318"/>
    </row>
    <row r="21" spans="2:14" x14ac:dyDescent="0.25">
      <c r="B21" s="318"/>
      <c r="C21" s="318"/>
      <c r="D21" s="318"/>
      <c r="E21" s="318"/>
      <c r="F21" s="318"/>
      <c r="G21" s="318"/>
      <c r="H21" s="318"/>
      <c r="I21" s="318"/>
      <c r="J21" s="318"/>
      <c r="K21" s="318"/>
      <c r="L21" s="318"/>
      <c r="M21" s="318"/>
      <c r="N21" s="318"/>
    </row>
    <row r="22" spans="2:14" x14ac:dyDescent="0.25">
      <c r="B22" s="318"/>
      <c r="C22" s="318"/>
      <c r="D22" s="318"/>
      <c r="E22" s="318"/>
      <c r="F22" s="318"/>
      <c r="G22" s="318"/>
      <c r="H22" s="318"/>
      <c r="I22" s="318"/>
      <c r="J22" s="318"/>
      <c r="K22" s="318"/>
      <c r="L22" s="318"/>
      <c r="M22" s="318"/>
      <c r="N22" s="318"/>
    </row>
    <row r="23" spans="2:14" x14ac:dyDescent="0.25">
      <c r="B23" s="318"/>
      <c r="C23" s="318"/>
      <c r="D23" s="318"/>
      <c r="E23" s="318"/>
      <c r="F23" s="318"/>
      <c r="G23" s="318"/>
      <c r="H23" s="318"/>
      <c r="I23" s="318"/>
      <c r="J23" s="318"/>
      <c r="K23" s="318"/>
      <c r="L23" s="318"/>
      <c r="M23" s="318"/>
      <c r="N23" s="318"/>
    </row>
    <row r="24" spans="2:14" x14ac:dyDescent="0.25">
      <c r="B24" s="318"/>
      <c r="C24" s="318"/>
      <c r="D24" s="318"/>
      <c r="E24" s="318"/>
      <c r="F24" s="318"/>
      <c r="G24" s="318"/>
      <c r="H24" s="318"/>
      <c r="I24" s="318"/>
      <c r="J24" s="318"/>
      <c r="K24" s="318"/>
      <c r="L24" s="318"/>
      <c r="M24" s="318"/>
      <c r="N24" s="318"/>
    </row>
    <row r="25" spans="2:14" x14ac:dyDescent="0.25">
      <c r="B25" s="318"/>
      <c r="C25" s="318"/>
      <c r="D25" s="318"/>
      <c r="E25" s="318"/>
      <c r="F25" s="318"/>
      <c r="G25" s="318"/>
      <c r="H25" s="318"/>
      <c r="I25" s="318"/>
      <c r="J25" s="318"/>
      <c r="K25" s="318"/>
      <c r="L25" s="318"/>
      <c r="M25" s="318"/>
      <c r="N25" s="318"/>
    </row>
    <row r="26" spans="2:14" x14ac:dyDescent="0.25">
      <c r="B26" s="318"/>
      <c r="C26" s="318"/>
      <c r="D26" s="318"/>
      <c r="E26" s="318"/>
      <c r="F26" s="318"/>
      <c r="G26" s="318"/>
      <c r="H26" s="318"/>
      <c r="I26" s="318"/>
      <c r="J26" s="318"/>
      <c r="K26" s="318"/>
      <c r="L26" s="318"/>
      <c r="M26" s="318"/>
      <c r="N26" s="318"/>
    </row>
    <row r="27" spans="2:14" x14ac:dyDescent="0.25">
      <c r="B27" s="318"/>
      <c r="C27" s="318"/>
      <c r="D27" s="318"/>
      <c r="E27" s="318"/>
      <c r="F27" s="318"/>
      <c r="G27" s="318"/>
      <c r="H27" s="318"/>
      <c r="I27" s="318"/>
      <c r="J27" s="318"/>
      <c r="K27" s="318"/>
      <c r="L27" s="318"/>
      <c r="M27" s="318"/>
      <c r="N27" s="318"/>
    </row>
  </sheetData>
  <mergeCells count="2">
    <mergeCell ref="B2:H2"/>
    <mergeCell ref="B3:N27"/>
  </mergeCells>
  <hyperlinks>
    <hyperlink ref="B2:H2" location="'RECETA BASE'!A1" display="PROCEDIMIENTO REDUCCIÓN DE BALSAMICO" xr:uid="{FD848168-0219-4F94-8375-FEE5AE64C0B0}"/>
  </hyperlinks>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C16B3-3EA8-45FC-AB4D-1671BBDA33B0}">
  <dimension ref="B2:N27"/>
  <sheetViews>
    <sheetView workbookViewId="0">
      <selection activeCell="B2" sqref="B2:N27"/>
    </sheetView>
  </sheetViews>
  <sheetFormatPr baseColWidth="10" defaultRowHeight="15" x14ac:dyDescent="0.25"/>
  <sheetData>
    <row r="2" spans="2:14" x14ac:dyDescent="0.25">
      <c r="B2" s="319" t="s">
        <v>89</v>
      </c>
      <c r="C2" s="319"/>
      <c r="D2" s="319"/>
      <c r="E2" s="319"/>
      <c r="F2" s="319"/>
      <c r="G2" s="319"/>
      <c r="H2" s="319"/>
      <c r="I2" s="106"/>
      <c r="J2" s="106"/>
      <c r="K2" s="106"/>
      <c r="L2" s="106"/>
      <c r="M2" s="106"/>
      <c r="N2" s="106"/>
    </row>
    <row r="3" spans="2:14" x14ac:dyDescent="0.25">
      <c r="B3" s="317" t="s">
        <v>90</v>
      </c>
      <c r="C3" s="318"/>
      <c r="D3" s="318"/>
      <c r="E3" s="318"/>
      <c r="F3" s="318"/>
      <c r="G3" s="318"/>
      <c r="H3" s="318"/>
      <c r="I3" s="318"/>
      <c r="J3" s="318"/>
      <c r="K3" s="318"/>
      <c r="L3" s="318"/>
      <c r="M3" s="318"/>
      <c r="N3" s="318"/>
    </row>
    <row r="4" spans="2:14" x14ac:dyDescent="0.25">
      <c r="B4" s="318"/>
      <c r="C4" s="318"/>
      <c r="D4" s="318"/>
      <c r="E4" s="318"/>
      <c r="F4" s="318"/>
      <c r="G4" s="318"/>
      <c r="H4" s="318"/>
      <c r="I4" s="318"/>
      <c r="J4" s="318"/>
      <c r="K4" s="318"/>
      <c r="L4" s="318"/>
      <c r="M4" s="318"/>
      <c r="N4" s="318"/>
    </row>
    <row r="5" spans="2:14" x14ac:dyDescent="0.25">
      <c r="B5" s="318"/>
      <c r="C5" s="318"/>
      <c r="D5" s="318"/>
      <c r="E5" s="318"/>
      <c r="F5" s="318"/>
      <c r="G5" s="318"/>
      <c r="H5" s="318"/>
      <c r="I5" s="318"/>
      <c r="J5" s="318"/>
      <c r="K5" s="318"/>
      <c r="L5" s="318"/>
      <c r="M5" s="318"/>
      <c r="N5" s="318"/>
    </row>
    <row r="6" spans="2:14" x14ac:dyDescent="0.25">
      <c r="B6" s="318"/>
      <c r="C6" s="318"/>
      <c r="D6" s="318"/>
      <c r="E6" s="318"/>
      <c r="F6" s="318"/>
      <c r="G6" s="318"/>
      <c r="H6" s="318"/>
      <c r="I6" s="318"/>
      <c r="J6" s="318"/>
      <c r="K6" s="318"/>
      <c r="L6" s="318"/>
      <c r="M6" s="318"/>
      <c r="N6" s="318"/>
    </row>
    <row r="7" spans="2:14" x14ac:dyDescent="0.25">
      <c r="B7" s="318"/>
      <c r="C7" s="318"/>
      <c r="D7" s="318"/>
      <c r="E7" s="318"/>
      <c r="F7" s="318"/>
      <c r="G7" s="318"/>
      <c r="H7" s="318"/>
      <c r="I7" s="318"/>
      <c r="J7" s="318"/>
      <c r="K7" s="318"/>
      <c r="L7" s="318"/>
      <c r="M7" s="318"/>
      <c r="N7" s="318"/>
    </row>
    <row r="8" spans="2:14" x14ac:dyDescent="0.25">
      <c r="B8" s="318"/>
      <c r="C8" s="318"/>
      <c r="D8" s="318"/>
      <c r="E8" s="318"/>
      <c r="F8" s="318"/>
      <c r="G8" s="318"/>
      <c r="H8" s="318"/>
      <c r="I8" s="318"/>
      <c r="J8" s="318"/>
      <c r="K8" s="318"/>
      <c r="L8" s="318"/>
      <c r="M8" s="318"/>
      <c r="N8" s="318"/>
    </row>
    <row r="9" spans="2:14" x14ac:dyDescent="0.25">
      <c r="B9" s="318"/>
      <c r="C9" s="318"/>
      <c r="D9" s="318"/>
      <c r="E9" s="318"/>
      <c r="F9" s="318"/>
      <c r="G9" s="318"/>
      <c r="H9" s="318"/>
      <c r="I9" s="318"/>
      <c r="J9" s="318"/>
      <c r="K9" s="318"/>
      <c r="L9" s="318"/>
      <c r="M9" s="318"/>
      <c r="N9" s="318"/>
    </row>
    <row r="10" spans="2:14" x14ac:dyDescent="0.25">
      <c r="B10" s="318"/>
      <c r="C10" s="318"/>
      <c r="D10" s="318"/>
      <c r="E10" s="318"/>
      <c r="F10" s="318"/>
      <c r="G10" s="318"/>
      <c r="H10" s="318"/>
      <c r="I10" s="318"/>
      <c r="J10" s="318"/>
      <c r="K10" s="318"/>
      <c r="L10" s="318"/>
      <c r="M10" s="318"/>
      <c r="N10" s="318"/>
    </row>
    <row r="11" spans="2:14" x14ac:dyDescent="0.25">
      <c r="B11" s="318"/>
      <c r="C11" s="318"/>
      <c r="D11" s="318"/>
      <c r="E11" s="318"/>
      <c r="F11" s="318"/>
      <c r="G11" s="318"/>
      <c r="H11" s="318"/>
      <c r="I11" s="318"/>
      <c r="J11" s="318"/>
      <c r="K11" s="318"/>
      <c r="L11" s="318"/>
      <c r="M11" s="318"/>
      <c r="N11" s="318"/>
    </row>
    <row r="12" spans="2:14" x14ac:dyDescent="0.25">
      <c r="B12" s="318"/>
      <c r="C12" s="318"/>
      <c r="D12" s="318"/>
      <c r="E12" s="318"/>
      <c r="F12" s="318"/>
      <c r="G12" s="318"/>
      <c r="H12" s="318"/>
      <c r="I12" s="318"/>
      <c r="J12" s="318"/>
      <c r="K12" s="318"/>
      <c r="L12" s="318"/>
      <c r="M12" s="318"/>
      <c r="N12" s="318"/>
    </row>
    <row r="13" spans="2:14" x14ac:dyDescent="0.25">
      <c r="B13" s="318"/>
      <c r="C13" s="318"/>
      <c r="D13" s="318"/>
      <c r="E13" s="318"/>
      <c r="F13" s="318"/>
      <c r="G13" s="318"/>
      <c r="H13" s="318"/>
      <c r="I13" s="318"/>
      <c r="J13" s="318"/>
      <c r="K13" s="318"/>
      <c r="L13" s="318"/>
      <c r="M13" s="318"/>
      <c r="N13" s="318"/>
    </row>
    <row r="14" spans="2:14" x14ac:dyDescent="0.25">
      <c r="B14" s="318"/>
      <c r="C14" s="318"/>
      <c r="D14" s="318"/>
      <c r="E14" s="318"/>
      <c r="F14" s="318"/>
      <c r="G14" s="318"/>
      <c r="H14" s="318"/>
      <c r="I14" s="318"/>
      <c r="J14" s="318"/>
      <c r="K14" s="318"/>
      <c r="L14" s="318"/>
      <c r="M14" s="318"/>
      <c r="N14" s="318"/>
    </row>
    <row r="15" spans="2:14" x14ac:dyDescent="0.25">
      <c r="B15" s="318"/>
      <c r="C15" s="318"/>
      <c r="D15" s="318"/>
      <c r="E15" s="318"/>
      <c r="F15" s="318"/>
      <c r="G15" s="318"/>
      <c r="H15" s="318"/>
      <c r="I15" s="318"/>
      <c r="J15" s="318"/>
      <c r="K15" s="318"/>
      <c r="L15" s="318"/>
      <c r="M15" s="318"/>
      <c r="N15" s="318"/>
    </row>
    <row r="16" spans="2:14" x14ac:dyDescent="0.25">
      <c r="B16" s="318"/>
      <c r="C16" s="318"/>
      <c r="D16" s="318"/>
      <c r="E16" s="318"/>
      <c r="F16" s="318"/>
      <c r="G16" s="318"/>
      <c r="H16" s="318"/>
      <c r="I16" s="318"/>
      <c r="J16" s="318"/>
      <c r="K16" s="318"/>
      <c r="L16" s="318"/>
      <c r="M16" s="318"/>
      <c r="N16" s="318"/>
    </row>
    <row r="17" spans="2:14" x14ac:dyDescent="0.25">
      <c r="B17" s="318"/>
      <c r="C17" s="318"/>
      <c r="D17" s="318"/>
      <c r="E17" s="318"/>
      <c r="F17" s="318"/>
      <c r="G17" s="318"/>
      <c r="H17" s="318"/>
      <c r="I17" s="318"/>
      <c r="J17" s="318"/>
      <c r="K17" s="318"/>
      <c r="L17" s="318"/>
      <c r="M17" s="318"/>
      <c r="N17" s="318"/>
    </row>
    <row r="18" spans="2:14" x14ac:dyDescent="0.25">
      <c r="B18" s="318"/>
      <c r="C18" s="318"/>
      <c r="D18" s="318"/>
      <c r="E18" s="318"/>
      <c r="F18" s="318"/>
      <c r="G18" s="318"/>
      <c r="H18" s="318"/>
      <c r="I18" s="318"/>
      <c r="J18" s="318"/>
      <c r="K18" s="318"/>
      <c r="L18" s="318"/>
      <c r="M18" s="318"/>
      <c r="N18" s="318"/>
    </row>
    <row r="19" spans="2:14" x14ac:dyDescent="0.25">
      <c r="B19" s="318"/>
      <c r="C19" s="318"/>
      <c r="D19" s="318"/>
      <c r="E19" s="318"/>
      <c r="F19" s="318"/>
      <c r="G19" s="318"/>
      <c r="H19" s="318"/>
      <c r="I19" s="318"/>
      <c r="J19" s="318"/>
      <c r="K19" s="318"/>
      <c r="L19" s="318"/>
      <c r="M19" s="318"/>
      <c r="N19" s="318"/>
    </row>
    <row r="20" spans="2:14" x14ac:dyDescent="0.25">
      <c r="B20" s="318"/>
      <c r="C20" s="318"/>
      <c r="D20" s="318"/>
      <c r="E20" s="318"/>
      <c r="F20" s="318"/>
      <c r="G20" s="318"/>
      <c r="H20" s="318"/>
      <c r="I20" s="318"/>
      <c r="J20" s="318"/>
      <c r="K20" s="318"/>
      <c r="L20" s="318"/>
      <c r="M20" s="318"/>
      <c r="N20" s="318"/>
    </row>
    <row r="21" spans="2:14" x14ac:dyDescent="0.25">
      <c r="B21" s="318"/>
      <c r="C21" s="318"/>
      <c r="D21" s="318"/>
      <c r="E21" s="318"/>
      <c r="F21" s="318"/>
      <c r="G21" s="318"/>
      <c r="H21" s="318"/>
      <c r="I21" s="318"/>
      <c r="J21" s="318"/>
      <c r="K21" s="318"/>
      <c r="L21" s="318"/>
      <c r="M21" s="318"/>
      <c r="N21" s="318"/>
    </row>
    <row r="22" spans="2:14" x14ac:dyDescent="0.25">
      <c r="B22" s="318"/>
      <c r="C22" s="318"/>
      <c r="D22" s="318"/>
      <c r="E22" s="318"/>
      <c r="F22" s="318"/>
      <c r="G22" s="318"/>
      <c r="H22" s="318"/>
      <c r="I22" s="318"/>
      <c r="J22" s="318"/>
      <c r="K22" s="318"/>
      <c r="L22" s="318"/>
      <c r="M22" s="318"/>
      <c r="N22" s="318"/>
    </row>
    <row r="23" spans="2:14" x14ac:dyDescent="0.25">
      <c r="B23" s="318"/>
      <c r="C23" s="318"/>
      <c r="D23" s="318"/>
      <c r="E23" s="318"/>
      <c r="F23" s="318"/>
      <c r="G23" s="318"/>
      <c r="H23" s="318"/>
      <c r="I23" s="318"/>
      <c r="J23" s="318"/>
      <c r="K23" s="318"/>
      <c r="L23" s="318"/>
      <c r="M23" s="318"/>
      <c r="N23" s="318"/>
    </row>
    <row r="24" spans="2:14" x14ac:dyDescent="0.25">
      <c r="B24" s="318"/>
      <c r="C24" s="318"/>
      <c r="D24" s="318"/>
      <c r="E24" s="318"/>
      <c r="F24" s="318"/>
      <c r="G24" s="318"/>
      <c r="H24" s="318"/>
      <c r="I24" s="318"/>
      <c r="J24" s="318"/>
      <c r="K24" s="318"/>
      <c r="L24" s="318"/>
      <c r="M24" s="318"/>
      <c r="N24" s="318"/>
    </row>
    <row r="25" spans="2:14" x14ac:dyDescent="0.25">
      <c r="B25" s="318"/>
      <c r="C25" s="318"/>
      <c r="D25" s="318"/>
      <c r="E25" s="318"/>
      <c r="F25" s="318"/>
      <c r="G25" s="318"/>
      <c r="H25" s="318"/>
      <c r="I25" s="318"/>
      <c r="J25" s="318"/>
      <c r="K25" s="318"/>
      <c r="L25" s="318"/>
      <c r="M25" s="318"/>
      <c r="N25" s="318"/>
    </row>
    <row r="26" spans="2:14" x14ac:dyDescent="0.25">
      <c r="B26" s="318"/>
      <c r="C26" s="318"/>
      <c r="D26" s="318"/>
      <c r="E26" s="318"/>
      <c r="F26" s="318"/>
      <c r="G26" s="318"/>
      <c r="H26" s="318"/>
      <c r="I26" s="318"/>
      <c r="J26" s="318"/>
      <c r="K26" s="318"/>
      <c r="L26" s="318"/>
      <c r="M26" s="318"/>
      <c r="N26" s="318"/>
    </row>
    <row r="27" spans="2:14" x14ac:dyDescent="0.25">
      <c r="B27" s="318"/>
      <c r="C27" s="318"/>
      <c r="D27" s="318"/>
      <c r="E27" s="318"/>
      <c r="F27" s="318"/>
      <c r="G27" s="318"/>
      <c r="H27" s="318"/>
      <c r="I27" s="318"/>
      <c r="J27" s="318"/>
      <c r="K27" s="318"/>
      <c r="L27" s="318"/>
      <c r="M27" s="318"/>
      <c r="N27" s="318"/>
    </row>
  </sheetData>
  <mergeCells count="2">
    <mergeCell ref="B2:H2"/>
    <mergeCell ref="B3:N27"/>
  </mergeCells>
  <hyperlinks>
    <hyperlink ref="B2:H2" location="'RECETA BASE'!A1" display="PROCEDIMIENTO BALSAMICO" xr:uid="{A9DE0A6B-599D-42F6-8D5A-7AA17A28B4B4}"/>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1D659-AA4F-40DC-9589-77392FA7AD58}">
  <dimension ref="B2:N27"/>
  <sheetViews>
    <sheetView workbookViewId="0">
      <selection activeCell="B2" sqref="B2:N27"/>
    </sheetView>
  </sheetViews>
  <sheetFormatPr baseColWidth="10" defaultRowHeight="15" x14ac:dyDescent="0.25"/>
  <sheetData>
    <row r="2" spans="2:14" x14ac:dyDescent="0.25">
      <c r="B2" s="320" t="s">
        <v>60</v>
      </c>
      <c r="C2" s="319"/>
      <c r="D2" s="319"/>
      <c r="E2" s="319"/>
      <c r="F2" s="319"/>
      <c r="G2" s="319"/>
      <c r="H2" s="319"/>
      <c r="I2" s="106"/>
      <c r="J2" s="106"/>
      <c r="K2" s="106"/>
      <c r="L2" s="106"/>
      <c r="M2" s="106"/>
      <c r="N2" s="106"/>
    </row>
    <row r="3" spans="2:14" x14ac:dyDescent="0.25">
      <c r="B3" s="317" t="s">
        <v>91</v>
      </c>
      <c r="C3" s="318"/>
      <c r="D3" s="318"/>
      <c r="E3" s="318"/>
      <c r="F3" s="318"/>
      <c r="G3" s="318"/>
      <c r="H3" s="318"/>
      <c r="I3" s="318"/>
      <c r="J3" s="318"/>
      <c r="K3" s="318"/>
      <c r="L3" s="318"/>
      <c r="M3" s="318"/>
      <c r="N3" s="318"/>
    </row>
    <row r="4" spans="2:14" x14ac:dyDescent="0.25">
      <c r="B4" s="318"/>
      <c r="C4" s="318"/>
      <c r="D4" s="318"/>
      <c r="E4" s="318"/>
      <c r="F4" s="318"/>
      <c r="G4" s="318"/>
      <c r="H4" s="318"/>
      <c r="I4" s="318"/>
      <c r="J4" s="318"/>
      <c r="K4" s="318"/>
      <c r="L4" s="318"/>
      <c r="M4" s="318"/>
      <c r="N4" s="318"/>
    </row>
    <row r="5" spans="2:14" x14ac:dyDescent="0.25">
      <c r="B5" s="318"/>
      <c r="C5" s="318"/>
      <c r="D5" s="318"/>
      <c r="E5" s="318"/>
      <c r="F5" s="318"/>
      <c r="G5" s="318"/>
      <c r="H5" s="318"/>
      <c r="I5" s="318"/>
      <c r="J5" s="318"/>
      <c r="K5" s="318"/>
      <c r="L5" s="318"/>
      <c r="M5" s="318"/>
      <c r="N5" s="318"/>
    </row>
    <row r="6" spans="2:14" x14ac:dyDescent="0.25">
      <c r="B6" s="318"/>
      <c r="C6" s="318"/>
      <c r="D6" s="318"/>
      <c r="E6" s="318"/>
      <c r="F6" s="318"/>
      <c r="G6" s="318"/>
      <c r="H6" s="318"/>
      <c r="I6" s="318"/>
      <c r="J6" s="318"/>
      <c r="K6" s="318"/>
      <c r="L6" s="318"/>
      <c r="M6" s="318"/>
      <c r="N6" s="318"/>
    </row>
    <row r="7" spans="2:14" x14ac:dyDescent="0.25">
      <c r="B7" s="318"/>
      <c r="C7" s="318"/>
      <c r="D7" s="318"/>
      <c r="E7" s="318"/>
      <c r="F7" s="318"/>
      <c r="G7" s="318"/>
      <c r="H7" s="318"/>
      <c r="I7" s="318"/>
      <c r="J7" s="318"/>
      <c r="K7" s="318"/>
      <c r="L7" s="318"/>
      <c r="M7" s="318"/>
      <c r="N7" s="318"/>
    </row>
    <row r="8" spans="2:14" x14ac:dyDescent="0.25">
      <c r="B8" s="318"/>
      <c r="C8" s="318"/>
      <c r="D8" s="318"/>
      <c r="E8" s="318"/>
      <c r="F8" s="318"/>
      <c r="G8" s="318"/>
      <c r="H8" s="318"/>
      <c r="I8" s="318"/>
      <c r="J8" s="318"/>
      <c r="K8" s="318"/>
      <c r="L8" s="318"/>
      <c r="M8" s="318"/>
      <c r="N8" s="318"/>
    </row>
    <row r="9" spans="2:14" x14ac:dyDescent="0.25">
      <c r="B9" s="318"/>
      <c r="C9" s="318"/>
      <c r="D9" s="318"/>
      <c r="E9" s="318"/>
      <c r="F9" s="318"/>
      <c r="G9" s="318"/>
      <c r="H9" s="318"/>
      <c r="I9" s="318"/>
      <c r="J9" s="318"/>
      <c r="K9" s="318"/>
      <c r="L9" s="318"/>
      <c r="M9" s="318"/>
      <c r="N9" s="318"/>
    </row>
    <row r="10" spans="2:14" x14ac:dyDescent="0.25">
      <c r="B10" s="318"/>
      <c r="C10" s="318"/>
      <c r="D10" s="318"/>
      <c r="E10" s="318"/>
      <c r="F10" s="318"/>
      <c r="G10" s="318"/>
      <c r="H10" s="318"/>
      <c r="I10" s="318"/>
      <c r="J10" s="318"/>
      <c r="K10" s="318"/>
      <c r="L10" s="318"/>
      <c r="M10" s="318"/>
      <c r="N10" s="318"/>
    </row>
    <row r="11" spans="2:14" x14ac:dyDescent="0.25">
      <c r="B11" s="318"/>
      <c r="C11" s="318"/>
      <c r="D11" s="318"/>
      <c r="E11" s="318"/>
      <c r="F11" s="318"/>
      <c r="G11" s="318"/>
      <c r="H11" s="318"/>
      <c r="I11" s="318"/>
      <c r="J11" s="318"/>
      <c r="K11" s="318"/>
      <c r="L11" s="318"/>
      <c r="M11" s="318"/>
      <c r="N11" s="318"/>
    </row>
    <row r="12" spans="2:14" x14ac:dyDescent="0.25">
      <c r="B12" s="318"/>
      <c r="C12" s="318"/>
      <c r="D12" s="318"/>
      <c r="E12" s="318"/>
      <c r="F12" s="318"/>
      <c r="G12" s="318"/>
      <c r="H12" s="318"/>
      <c r="I12" s="318"/>
      <c r="J12" s="318"/>
      <c r="K12" s="318"/>
      <c r="L12" s="318"/>
      <c r="M12" s="318"/>
      <c r="N12" s="318"/>
    </row>
    <row r="13" spans="2:14" x14ac:dyDescent="0.25">
      <c r="B13" s="318"/>
      <c r="C13" s="318"/>
      <c r="D13" s="318"/>
      <c r="E13" s="318"/>
      <c r="F13" s="318"/>
      <c r="G13" s="318"/>
      <c r="H13" s="318"/>
      <c r="I13" s="318"/>
      <c r="J13" s="318"/>
      <c r="K13" s="318"/>
      <c r="L13" s="318"/>
      <c r="M13" s="318"/>
      <c r="N13" s="318"/>
    </row>
    <row r="14" spans="2:14" x14ac:dyDescent="0.25">
      <c r="B14" s="318"/>
      <c r="C14" s="318"/>
      <c r="D14" s="318"/>
      <c r="E14" s="318"/>
      <c r="F14" s="318"/>
      <c r="G14" s="318"/>
      <c r="H14" s="318"/>
      <c r="I14" s="318"/>
      <c r="J14" s="318"/>
      <c r="K14" s="318"/>
      <c r="L14" s="318"/>
      <c r="M14" s="318"/>
      <c r="N14" s="318"/>
    </row>
    <row r="15" spans="2:14" x14ac:dyDescent="0.25">
      <c r="B15" s="318"/>
      <c r="C15" s="318"/>
      <c r="D15" s="318"/>
      <c r="E15" s="318"/>
      <c r="F15" s="318"/>
      <c r="G15" s="318"/>
      <c r="H15" s="318"/>
      <c r="I15" s="318"/>
      <c r="J15" s="318"/>
      <c r="K15" s="318"/>
      <c r="L15" s="318"/>
      <c r="M15" s="318"/>
      <c r="N15" s="318"/>
    </row>
    <row r="16" spans="2:14" x14ac:dyDescent="0.25">
      <c r="B16" s="318"/>
      <c r="C16" s="318"/>
      <c r="D16" s="318"/>
      <c r="E16" s="318"/>
      <c r="F16" s="318"/>
      <c r="G16" s="318"/>
      <c r="H16" s="318"/>
      <c r="I16" s="318"/>
      <c r="J16" s="318"/>
      <c r="K16" s="318"/>
      <c r="L16" s="318"/>
      <c r="M16" s="318"/>
      <c r="N16" s="318"/>
    </row>
    <row r="17" spans="2:14" x14ac:dyDescent="0.25">
      <c r="B17" s="318"/>
      <c r="C17" s="318"/>
      <c r="D17" s="318"/>
      <c r="E17" s="318"/>
      <c r="F17" s="318"/>
      <c r="G17" s="318"/>
      <c r="H17" s="318"/>
      <c r="I17" s="318"/>
      <c r="J17" s="318"/>
      <c r="K17" s="318"/>
      <c r="L17" s="318"/>
      <c r="M17" s="318"/>
      <c r="N17" s="318"/>
    </row>
    <row r="18" spans="2:14" x14ac:dyDescent="0.25">
      <c r="B18" s="318"/>
      <c r="C18" s="318"/>
      <c r="D18" s="318"/>
      <c r="E18" s="318"/>
      <c r="F18" s="318"/>
      <c r="G18" s="318"/>
      <c r="H18" s="318"/>
      <c r="I18" s="318"/>
      <c r="J18" s="318"/>
      <c r="K18" s="318"/>
      <c r="L18" s="318"/>
      <c r="M18" s="318"/>
      <c r="N18" s="318"/>
    </row>
    <row r="19" spans="2:14" x14ac:dyDescent="0.25">
      <c r="B19" s="318"/>
      <c r="C19" s="318"/>
      <c r="D19" s="318"/>
      <c r="E19" s="318"/>
      <c r="F19" s="318"/>
      <c r="G19" s="318"/>
      <c r="H19" s="318"/>
      <c r="I19" s="318"/>
      <c r="J19" s="318"/>
      <c r="K19" s="318"/>
      <c r="L19" s="318"/>
      <c r="M19" s="318"/>
      <c r="N19" s="318"/>
    </row>
    <row r="20" spans="2:14" x14ac:dyDescent="0.25">
      <c r="B20" s="318"/>
      <c r="C20" s="318"/>
      <c r="D20" s="318"/>
      <c r="E20" s="318"/>
      <c r="F20" s="318"/>
      <c r="G20" s="318"/>
      <c r="H20" s="318"/>
      <c r="I20" s="318"/>
      <c r="J20" s="318"/>
      <c r="K20" s="318"/>
      <c r="L20" s="318"/>
      <c r="M20" s="318"/>
      <c r="N20" s="318"/>
    </row>
    <row r="21" spans="2:14" x14ac:dyDescent="0.25">
      <c r="B21" s="318"/>
      <c r="C21" s="318"/>
      <c r="D21" s="318"/>
      <c r="E21" s="318"/>
      <c r="F21" s="318"/>
      <c r="G21" s="318"/>
      <c r="H21" s="318"/>
      <c r="I21" s="318"/>
      <c r="J21" s="318"/>
      <c r="K21" s="318"/>
      <c r="L21" s="318"/>
      <c r="M21" s="318"/>
      <c r="N21" s="318"/>
    </row>
    <row r="22" spans="2:14" x14ac:dyDescent="0.25">
      <c r="B22" s="318"/>
      <c r="C22" s="318"/>
      <c r="D22" s="318"/>
      <c r="E22" s="318"/>
      <c r="F22" s="318"/>
      <c r="G22" s="318"/>
      <c r="H22" s="318"/>
      <c r="I22" s="318"/>
      <c r="J22" s="318"/>
      <c r="K22" s="318"/>
      <c r="L22" s="318"/>
      <c r="M22" s="318"/>
      <c r="N22" s="318"/>
    </row>
    <row r="23" spans="2:14" x14ac:dyDescent="0.25">
      <c r="B23" s="318"/>
      <c r="C23" s="318"/>
      <c r="D23" s="318"/>
      <c r="E23" s="318"/>
      <c r="F23" s="318"/>
      <c r="G23" s="318"/>
      <c r="H23" s="318"/>
      <c r="I23" s="318"/>
      <c r="J23" s="318"/>
      <c r="K23" s="318"/>
      <c r="L23" s="318"/>
      <c r="M23" s="318"/>
      <c r="N23" s="318"/>
    </row>
    <row r="24" spans="2:14" x14ac:dyDescent="0.25">
      <c r="B24" s="318"/>
      <c r="C24" s="318"/>
      <c r="D24" s="318"/>
      <c r="E24" s="318"/>
      <c r="F24" s="318"/>
      <c r="G24" s="318"/>
      <c r="H24" s="318"/>
      <c r="I24" s="318"/>
      <c r="J24" s="318"/>
      <c r="K24" s="318"/>
      <c r="L24" s="318"/>
      <c r="M24" s="318"/>
      <c r="N24" s="318"/>
    </row>
    <row r="25" spans="2:14" x14ac:dyDescent="0.25">
      <c r="B25" s="318"/>
      <c r="C25" s="318"/>
      <c r="D25" s="318"/>
      <c r="E25" s="318"/>
      <c r="F25" s="318"/>
      <c r="G25" s="318"/>
      <c r="H25" s="318"/>
      <c r="I25" s="318"/>
      <c r="J25" s="318"/>
      <c r="K25" s="318"/>
      <c r="L25" s="318"/>
      <c r="M25" s="318"/>
      <c r="N25" s="318"/>
    </row>
    <row r="26" spans="2:14" x14ac:dyDescent="0.25">
      <c r="B26" s="318"/>
      <c r="C26" s="318"/>
      <c r="D26" s="318"/>
      <c r="E26" s="318"/>
      <c r="F26" s="318"/>
      <c r="G26" s="318"/>
      <c r="H26" s="318"/>
      <c r="I26" s="318"/>
      <c r="J26" s="318"/>
      <c r="K26" s="318"/>
      <c r="L26" s="318"/>
      <c r="M26" s="318"/>
      <c r="N26" s="318"/>
    </row>
    <row r="27" spans="2:14" x14ac:dyDescent="0.25">
      <c r="B27" s="318"/>
      <c r="C27" s="318"/>
      <c r="D27" s="318"/>
      <c r="E27" s="318"/>
      <c r="F27" s="318"/>
      <c r="G27" s="318"/>
      <c r="H27" s="318"/>
      <c r="I27" s="318"/>
      <c r="J27" s="318"/>
      <c r="K27" s="318"/>
      <c r="L27" s="318"/>
      <c r="M27" s="318"/>
      <c r="N27" s="318"/>
    </row>
  </sheetData>
  <mergeCells count="2">
    <mergeCell ref="B2:H2"/>
    <mergeCell ref="B3:N27"/>
  </mergeCells>
  <hyperlinks>
    <hyperlink ref="B2:H2" location="'RECETA BASE'!A1" display="PROCEDIMIENTO BALSAMICO" xr:uid="{94309FE9-D6CE-41BB-A081-A2712DAD50A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A30D3-A539-4763-95B5-9DAFF4C89010}">
  <dimension ref="B2:N27"/>
  <sheetViews>
    <sheetView workbookViewId="0">
      <selection activeCell="B2" sqref="B2:H2"/>
    </sheetView>
  </sheetViews>
  <sheetFormatPr baseColWidth="10" defaultRowHeight="15" x14ac:dyDescent="0.25"/>
  <sheetData>
    <row r="2" spans="2:14" x14ac:dyDescent="0.25">
      <c r="B2" s="319" t="s">
        <v>86</v>
      </c>
      <c r="C2" s="319"/>
      <c r="D2" s="319"/>
      <c r="E2" s="319"/>
      <c r="F2" s="319"/>
      <c r="G2" s="319"/>
      <c r="H2" s="319"/>
      <c r="I2" s="106"/>
      <c r="J2" s="106"/>
      <c r="K2" s="106"/>
      <c r="L2" s="106"/>
      <c r="M2" s="106"/>
      <c r="N2" s="106"/>
    </row>
    <row r="3" spans="2:14" x14ac:dyDescent="0.25">
      <c r="B3" s="317" t="s">
        <v>92</v>
      </c>
      <c r="C3" s="318"/>
      <c r="D3" s="318"/>
      <c r="E3" s="318"/>
      <c r="F3" s="318"/>
      <c r="G3" s="318"/>
      <c r="H3" s="318"/>
      <c r="I3" s="318"/>
      <c r="J3" s="318"/>
      <c r="K3" s="318"/>
      <c r="L3" s="318"/>
      <c r="M3" s="318"/>
      <c r="N3" s="318"/>
    </row>
    <row r="4" spans="2:14" x14ac:dyDescent="0.25">
      <c r="B4" s="318"/>
      <c r="C4" s="318"/>
      <c r="D4" s="318"/>
      <c r="E4" s="318"/>
      <c r="F4" s="318"/>
      <c r="G4" s="318"/>
      <c r="H4" s="318"/>
      <c r="I4" s="318"/>
      <c r="J4" s="318"/>
      <c r="K4" s="318"/>
      <c r="L4" s="318"/>
      <c r="M4" s="318"/>
      <c r="N4" s="318"/>
    </row>
    <row r="5" spans="2:14" x14ac:dyDescent="0.25">
      <c r="B5" s="318"/>
      <c r="C5" s="318"/>
      <c r="D5" s="318"/>
      <c r="E5" s="318"/>
      <c r="F5" s="318"/>
      <c r="G5" s="318"/>
      <c r="H5" s="318"/>
      <c r="I5" s="318"/>
      <c r="J5" s="318"/>
      <c r="K5" s="318"/>
      <c r="L5" s="318"/>
      <c r="M5" s="318"/>
      <c r="N5" s="318"/>
    </row>
    <row r="6" spans="2:14" x14ac:dyDescent="0.25">
      <c r="B6" s="318"/>
      <c r="C6" s="318"/>
      <c r="D6" s="318"/>
      <c r="E6" s="318"/>
      <c r="F6" s="318"/>
      <c r="G6" s="318"/>
      <c r="H6" s="318"/>
      <c r="I6" s="318"/>
      <c r="J6" s="318"/>
      <c r="K6" s="318"/>
      <c r="L6" s="318"/>
      <c r="M6" s="318"/>
      <c r="N6" s="318"/>
    </row>
    <row r="7" spans="2:14" x14ac:dyDescent="0.25">
      <c r="B7" s="318"/>
      <c r="C7" s="318"/>
      <c r="D7" s="318"/>
      <c r="E7" s="318"/>
      <c r="F7" s="318"/>
      <c r="G7" s="318"/>
      <c r="H7" s="318"/>
      <c r="I7" s="318"/>
      <c r="J7" s="318"/>
      <c r="K7" s="318"/>
      <c r="L7" s="318"/>
      <c r="M7" s="318"/>
      <c r="N7" s="318"/>
    </row>
    <row r="8" spans="2:14" x14ac:dyDescent="0.25">
      <c r="B8" s="318"/>
      <c r="C8" s="318"/>
      <c r="D8" s="318"/>
      <c r="E8" s="318"/>
      <c r="F8" s="318"/>
      <c r="G8" s="318"/>
      <c r="H8" s="318"/>
      <c r="I8" s="318"/>
      <c r="J8" s="318"/>
      <c r="K8" s="318"/>
      <c r="L8" s="318"/>
      <c r="M8" s="318"/>
      <c r="N8" s="318"/>
    </row>
    <row r="9" spans="2:14" x14ac:dyDescent="0.25">
      <c r="B9" s="318"/>
      <c r="C9" s="318"/>
      <c r="D9" s="318"/>
      <c r="E9" s="318"/>
      <c r="F9" s="318"/>
      <c r="G9" s="318"/>
      <c r="H9" s="318"/>
      <c r="I9" s="318"/>
      <c r="J9" s="318"/>
      <c r="K9" s="318"/>
      <c r="L9" s="318"/>
      <c r="M9" s="318"/>
      <c r="N9" s="318"/>
    </row>
    <row r="10" spans="2:14" x14ac:dyDescent="0.25">
      <c r="B10" s="318"/>
      <c r="C10" s="318"/>
      <c r="D10" s="318"/>
      <c r="E10" s="318"/>
      <c r="F10" s="318"/>
      <c r="G10" s="318"/>
      <c r="H10" s="318"/>
      <c r="I10" s="318"/>
      <c r="J10" s="318"/>
      <c r="K10" s="318"/>
      <c r="L10" s="318"/>
      <c r="M10" s="318"/>
      <c r="N10" s="318"/>
    </row>
    <row r="11" spans="2:14" x14ac:dyDescent="0.25">
      <c r="B11" s="318"/>
      <c r="C11" s="318"/>
      <c r="D11" s="318"/>
      <c r="E11" s="318"/>
      <c r="F11" s="318"/>
      <c r="G11" s="318"/>
      <c r="H11" s="318"/>
      <c r="I11" s="318"/>
      <c r="J11" s="318"/>
      <c r="K11" s="318"/>
      <c r="L11" s="318"/>
      <c r="M11" s="318"/>
      <c r="N11" s="318"/>
    </row>
    <row r="12" spans="2:14" x14ac:dyDescent="0.25">
      <c r="B12" s="318"/>
      <c r="C12" s="318"/>
      <c r="D12" s="318"/>
      <c r="E12" s="318"/>
      <c r="F12" s="318"/>
      <c r="G12" s="318"/>
      <c r="H12" s="318"/>
      <c r="I12" s="318"/>
      <c r="J12" s="318"/>
      <c r="K12" s="318"/>
      <c r="L12" s="318"/>
      <c r="M12" s="318"/>
      <c r="N12" s="318"/>
    </row>
    <row r="13" spans="2:14" x14ac:dyDescent="0.25">
      <c r="B13" s="318"/>
      <c r="C13" s="318"/>
      <c r="D13" s="318"/>
      <c r="E13" s="318"/>
      <c r="F13" s="318"/>
      <c r="G13" s="318"/>
      <c r="H13" s="318"/>
      <c r="I13" s="318"/>
      <c r="J13" s="318"/>
      <c r="K13" s="318"/>
      <c r="L13" s="318"/>
      <c r="M13" s="318"/>
      <c r="N13" s="318"/>
    </row>
    <row r="14" spans="2:14" x14ac:dyDescent="0.25">
      <c r="B14" s="318"/>
      <c r="C14" s="318"/>
      <c r="D14" s="318"/>
      <c r="E14" s="318"/>
      <c r="F14" s="318"/>
      <c r="G14" s="318"/>
      <c r="H14" s="318"/>
      <c r="I14" s="318"/>
      <c r="J14" s="318"/>
      <c r="K14" s="318"/>
      <c r="L14" s="318"/>
      <c r="M14" s="318"/>
      <c r="N14" s="318"/>
    </row>
    <row r="15" spans="2:14" x14ac:dyDescent="0.25">
      <c r="B15" s="318"/>
      <c r="C15" s="318"/>
      <c r="D15" s="318"/>
      <c r="E15" s="318"/>
      <c r="F15" s="318"/>
      <c r="G15" s="318"/>
      <c r="H15" s="318"/>
      <c r="I15" s="318"/>
      <c r="J15" s="318"/>
      <c r="K15" s="318"/>
      <c r="L15" s="318"/>
      <c r="M15" s="318"/>
      <c r="N15" s="318"/>
    </row>
    <row r="16" spans="2:14" x14ac:dyDescent="0.25">
      <c r="B16" s="318"/>
      <c r="C16" s="318"/>
      <c r="D16" s="318"/>
      <c r="E16" s="318"/>
      <c r="F16" s="318"/>
      <c r="G16" s="318"/>
      <c r="H16" s="318"/>
      <c r="I16" s="318"/>
      <c r="J16" s="318"/>
      <c r="K16" s="318"/>
      <c r="L16" s="318"/>
      <c r="M16" s="318"/>
      <c r="N16" s="318"/>
    </row>
    <row r="17" spans="2:14" x14ac:dyDescent="0.25">
      <c r="B17" s="318"/>
      <c r="C17" s="318"/>
      <c r="D17" s="318"/>
      <c r="E17" s="318"/>
      <c r="F17" s="318"/>
      <c r="G17" s="318"/>
      <c r="H17" s="318"/>
      <c r="I17" s="318"/>
      <c r="J17" s="318"/>
      <c r="K17" s="318"/>
      <c r="L17" s="318"/>
      <c r="M17" s="318"/>
      <c r="N17" s="318"/>
    </row>
    <row r="18" spans="2:14" x14ac:dyDescent="0.25">
      <c r="B18" s="318"/>
      <c r="C18" s="318"/>
      <c r="D18" s="318"/>
      <c r="E18" s="318"/>
      <c r="F18" s="318"/>
      <c r="G18" s="318"/>
      <c r="H18" s="318"/>
      <c r="I18" s="318"/>
      <c r="J18" s="318"/>
      <c r="K18" s="318"/>
      <c r="L18" s="318"/>
      <c r="M18" s="318"/>
      <c r="N18" s="318"/>
    </row>
    <row r="19" spans="2:14" x14ac:dyDescent="0.25">
      <c r="B19" s="318"/>
      <c r="C19" s="318"/>
      <c r="D19" s="318"/>
      <c r="E19" s="318"/>
      <c r="F19" s="318"/>
      <c r="G19" s="318"/>
      <c r="H19" s="318"/>
      <c r="I19" s="318"/>
      <c r="J19" s="318"/>
      <c r="K19" s="318"/>
      <c r="L19" s="318"/>
      <c r="M19" s="318"/>
      <c r="N19" s="318"/>
    </row>
    <row r="20" spans="2:14" x14ac:dyDescent="0.25">
      <c r="B20" s="318"/>
      <c r="C20" s="318"/>
      <c r="D20" s="318"/>
      <c r="E20" s="318"/>
      <c r="F20" s="318"/>
      <c r="G20" s="318"/>
      <c r="H20" s="318"/>
      <c r="I20" s="318"/>
      <c r="J20" s="318"/>
      <c r="K20" s="318"/>
      <c r="L20" s="318"/>
      <c r="M20" s="318"/>
      <c r="N20" s="318"/>
    </row>
    <row r="21" spans="2:14" x14ac:dyDescent="0.25">
      <c r="B21" s="318"/>
      <c r="C21" s="318"/>
      <c r="D21" s="318"/>
      <c r="E21" s="318"/>
      <c r="F21" s="318"/>
      <c r="G21" s="318"/>
      <c r="H21" s="318"/>
      <c r="I21" s="318"/>
      <c r="J21" s="318"/>
      <c r="K21" s="318"/>
      <c r="L21" s="318"/>
      <c r="M21" s="318"/>
      <c r="N21" s="318"/>
    </row>
    <row r="22" spans="2:14" x14ac:dyDescent="0.25">
      <c r="B22" s="318"/>
      <c r="C22" s="318"/>
      <c r="D22" s="318"/>
      <c r="E22" s="318"/>
      <c r="F22" s="318"/>
      <c r="G22" s="318"/>
      <c r="H22" s="318"/>
      <c r="I22" s="318"/>
      <c r="J22" s="318"/>
      <c r="K22" s="318"/>
      <c r="L22" s="318"/>
      <c r="M22" s="318"/>
      <c r="N22" s="318"/>
    </row>
    <row r="23" spans="2:14" x14ac:dyDescent="0.25">
      <c r="B23" s="318"/>
      <c r="C23" s="318"/>
      <c r="D23" s="318"/>
      <c r="E23" s="318"/>
      <c r="F23" s="318"/>
      <c r="G23" s="318"/>
      <c r="H23" s="318"/>
      <c r="I23" s="318"/>
      <c r="J23" s="318"/>
      <c r="K23" s="318"/>
      <c r="L23" s="318"/>
      <c r="M23" s="318"/>
      <c r="N23" s="318"/>
    </row>
    <row r="24" spans="2:14" x14ac:dyDescent="0.25">
      <c r="B24" s="318"/>
      <c r="C24" s="318"/>
      <c r="D24" s="318"/>
      <c r="E24" s="318"/>
      <c r="F24" s="318"/>
      <c r="G24" s="318"/>
      <c r="H24" s="318"/>
      <c r="I24" s="318"/>
      <c r="J24" s="318"/>
      <c r="K24" s="318"/>
      <c r="L24" s="318"/>
      <c r="M24" s="318"/>
      <c r="N24" s="318"/>
    </row>
    <row r="25" spans="2:14" x14ac:dyDescent="0.25">
      <c r="B25" s="318"/>
      <c r="C25" s="318"/>
      <c r="D25" s="318"/>
      <c r="E25" s="318"/>
      <c r="F25" s="318"/>
      <c r="G25" s="318"/>
      <c r="H25" s="318"/>
      <c r="I25" s="318"/>
      <c r="J25" s="318"/>
      <c r="K25" s="318"/>
      <c r="L25" s="318"/>
      <c r="M25" s="318"/>
      <c r="N25" s="318"/>
    </row>
    <row r="26" spans="2:14" x14ac:dyDescent="0.25">
      <c r="B26" s="318"/>
      <c r="C26" s="318"/>
      <c r="D26" s="318"/>
      <c r="E26" s="318"/>
      <c r="F26" s="318"/>
      <c r="G26" s="318"/>
      <c r="H26" s="318"/>
      <c r="I26" s="318"/>
      <c r="J26" s="318"/>
      <c r="K26" s="318"/>
      <c r="L26" s="318"/>
      <c r="M26" s="318"/>
      <c r="N26" s="318"/>
    </row>
    <row r="27" spans="2:14" x14ac:dyDescent="0.25">
      <c r="B27" s="318"/>
      <c r="C27" s="318"/>
      <c r="D27" s="318"/>
      <c r="E27" s="318"/>
      <c r="F27" s="318"/>
      <c r="G27" s="318"/>
      <c r="H27" s="318"/>
      <c r="I27" s="318"/>
      <c r="J27" s="318"/>
      <c r="K27" s="318"/>
      <c r="L27" s="318"/>
      <c r="M27" s="318"/>
      <c r="N27" s="318"/>
    </row>
  </sheetData>
  <mergeCells count="2">
    <mergeCell ref="B2:H2"/>
    <mergeCell ref="B3:N27"/>
  </mergeCells>
  <hyperlinks>
    <hyperlink ref="B2:H2" location="'RECETA BASE'!A55" display="SALSA DE LA CASA" xr:uid="{D62E4BE5-C827-4464-85FE-1B23810A2C3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PLATOS</vt:lpstr>
      <vt:lpstr>LISTA MAESTRA</vt:lpstr>
      <vt:lpstr>RECETA BASE</vt:lpstr>
      <vt:lpstr>ESTANDAR CAMPO</vt:lpstr>
      <vt:lpstr>ESTANDAR SALUDABLE</vt:lpstr>
      <vt:lpstr>ESTANDAR ENTRADAS</vt:lpstr>
      <vt:lpstr>AVES DEL CORRAL</vt:lpstr>
      <vt:lpstr>SABORES DE CERDO</vt:lpstr>
      <vt:lpstr>TESOROS DEL RIO</vt:lpstr>
      <vt:lpstr>CARNE DEL CORRAL</vt:lpstr>
      <vt:lpstr>VEGETARIANOS</vt:lpstr>
      <vt:lpstr>PRESUPUESTO</vt:lpstr>
      <vt:lpstr>SALSA DE AJO</vt:lpstr>
      <vt:lpstr>REDUCCIÓN BALSAMICO</vt:lpstr>
      <vt:lpstr>MIEL DE JENGIBRE</vt:lpstr>
      <vt:lpstr>DE LA CASA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esteban gomez</dc:creator>
  <cp:lastModifiedBy>Esteban Angarita</cp:lastModifiedBy>
  <dcterms:created xsi:type="dcterms:W3CDTF">2021-06-11T14:49:34Z</dcterms:created>
  <dcterms:modified xsi:type="dcterms:W3CDTF">2025-10-18T17:20:35Z</dcterms:modified>
</cp:coreProperties>
</file>